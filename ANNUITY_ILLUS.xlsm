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Annuity_Illustration_Project\"/>
    </mc:Choice>
  </mc:AlternateContent>
  <xr:revisionPtr revIDLastSave="0" documentId="13_ncr:1_{B504BDB6-ADD9-4064-8609-46391B83E42B}" xr6:coauthVersionLast="47" xr6:coauthVersionMax="47" xr10:uidLastSave="{00000000-0000-0000-0000-000000000000}"/>
  <bookViews>
    <workbookView xWindow="-120" yWindow="-120" windowWidth="29040" windowHeight="16440" activeTab="1" xr2:uid="{FA90EC08-AC8B-4A22-8C0C-FB07EED670F7}"/>
  </bookViews>
  <sheets>
    <sheet name="Annuity_Calc" sheetId="1" r:id="rId1"/>
    <sheet name="Group_Summary" sheetId="8" r:id="rId2"/>
    <sheet name="Data_Sheet" sheetId="3" r:id="rId3"/>
    <sheet name="Formulas" sheetId="2" r:id="rId4"/>
    <sheet name="Payment_Breakdown" sheetId="7" r:id="rId5"/>
  </sheets>
  <definedNames>
    <definedName name="After75">Formulas!$D$40:$J$74</definedName>
    <definedName name="Ann_Table">Annuity_Calc!$E$4:$F$40</definedName>
    <definedName name="Before75">Formulas!$D$4:$J$39</definedName>
    <definedName name="FullTable">Formulas!$D$4:$J$74</definedName>
    <definedName name="Plan_Type">Formulas!$D$3:$J$3</definedName>
    <definedName name="Year">Formulas!$C$4:$C$74</definedName>
    <definedName name="Years1">Formulas!$C$3:$C$39</definedName>
    <definedName name="Years2">Formulas!$C$40:$C$74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1" l="1" a="1"/>
  <c r="M5" i="1" s="1"/>
  <c r="A3" i="7" a="1"/>
  <c r="A3" i="7" s="1"/>
  <c r="M36" i="2" l="1"/>
  <c r="M37" i="2" s="1"/>
  <c r="K14" i="1" l="1" a="1"/>
  <c r="K14" i="1" s="1"/>
  <c r="C4" i="2" a="1"/>
  <c r="E5" i="2" l="1" a="1"/>
  <c r="E5" i="2" s="1"/>
  <c r="E16" i="2" a="1"/>
  <c r="E16" i="2" s="1"/>
  <c r="E26" i="2" a="1"/>
  <c r="E26" i="2" s="1"/>
  <c r="E36" i="2" a="1"/>
  <c r="E36" i="2" s="1"/>
  <c r="E57" i="2" a="1"/>
  <c r="E57" i="2" s="1"/>
  <c r="E67" i="2" a="1"/>
  <c r="E67" i="2" s="1"/>
  <c r="E40" i="2" a="1"/>
  <c r="E40" i="2" s="1"/>
  <c r="E31" i="2" a="1"/>
  <c r="E31" i="2" s="1"/>
  <c r="E22" i="2" a="1"/>
  <c r="E22" i="2" s="1"/>
  <c r="E74" i="2" a="1"/>
  <c r="E74" i="2" s="1"/>
  <c r="E25" i="2" a="1"/>
  <c r="E25" i="2" s="1"/>
  <c r="E6" i="2" a="1"/>
  <c r="E6" i="2" s="1"/>
  <c r="E27" i="2" a="1"/>
  <c r="E27" i="2" s="1"/>
  <c r="E37" i="2" a="1"/>
  <c r="E37" i="2" s="1"/>
  <c r="E47" i="2" a="1"/>
  <c r="E47" i="2" s="1"/>
  <c r="E58" i="2" a="1"/>
  <c r="E58" i="2" s="1"/>
  <c r="E68" i="2" a="1"/>
  <c r="E68" i="2" s="1"/>
  <c r="E50" i="2" a="1"/>
  <c r="E50" i="2" s="1"/>
  <c r="E51" i="2" a="1"/>
  <c r="E51" i="2" s="1"/>
  <c r="E72" i="2" a="1"/>
  <c r="E72" i="2" s="1"/>
  <c r="E63" i="2" a="1"/>
  <c r="E63" i="2" s="1"/>
  <c r="E34" i="2" a="1"/>
  <c r="E34" i="2" s="1"/>
  <c r="E24" i="2" a="1"/>
  <c r="E24" i="2" s="1"/>
  <c r="E46" i="2" a="1"/>
  <c r="E46" i="2" s="1"/>
  <c r="E7" i="2" a="1"/>
  <c r="E7" i="2" s="1"/>
  <c r="E17" i="2" a="1"/>
  <c r="E17" i="2" s="1"/>
  <c r="E28" i="2" a="1"/>
  <c r="E28" i="2" s="1"/>
  <c r="E38" i="2" a="1"/>
  <c r="E38" i="2" s="1"/>
  <c r="E48" i="2" a="1"/>
  <c r="E48" i="2" s="1"/>
  <c r="E69" i="2" a="1"/>
  <c r="E69" i="2" s="1"/>
  <c r="E29" i="2" a="1"/>
  <c r="E29" i="2" s="1"/>
  <c r="E41" i="2" a="1"/>
  <c r="E41" i="2" s="1"/>
  <c r="E42" i="2" a="1"/>
  <c r="E42" i="2" s="1"/>
  <c r="E43" i="2" a="1"/>
  <c r="E43" i="2" s="1"/>
  <c r="E54" i="2" a="1"/>
  <c r="E54" i="2" s="1"/>
  <c r="E45" i="2" a="1"/>
  <c r="E45" i="2" s="1"/>
  <c r="E66" i="2" a="1"/>
  <c r="E66" i="2" s="1"/>
  <c r="E8" i="2" a="1"/>
  <c r="E8" i="2" s="1"/>
  <c r="E18" i="2" a="1"/>
  <c r="E18" i="2" s="1"/>
  <c r="E39" i="2" a="1"/>
  <c r="E39" i="2" s="1"/>
  <c r="E49" i="2" a="1"/>
  <c r="E49" i="2" s="1"/>
  <c r="E59" i="2" a="1"/>
  <c r="E59" i="2" s="1"/>
  <c r="E70" i="2" a="1"/>
  <c r="E70" i="2" s="1"/>
  <c r="E61" i="2" a="1"/>
  <c r="E61" i="2" s="1"/>
  <c r="E62" i="2" a="1"/>
  <c r="E62" i="2" s="1"/>
  <c r="E32" i="2" a="1"/>
  <c r="E32" i="2" s="1"/>
  <c r="E13" i="2" a="1"/>
  <c r="E13" i="2" s="1"/>
  <c r="E65" i="2" a="1"/>
  <c r="E65" i="2" s="1"/>
  <c r="E35" i="2" a="1"/>
  <c r="E35" i="2" s="1"/>
  <c r="E9" i="2" a="1"/>
  <c r="E9" i="2" s="1"/>
  <c r="E19" i="2" a="1"/>
  <c r="E19" i="2" s="1"/>
  <c r="E60" i="2" a="1"/>
  <c r="E60" i="2" s="1"/>
  <c r="E64" i="2" a="1"/>
  <c r="E64" i="2" s="1"/>
  <c r="E44" i="2" a="1"/>
  <c r="E44" i="2" s="1"/>
  <c r="E15" i="2" a="1"/>
  <c r="E15" i="2" s="1"/>
  <c r="E10" i="2" a="1"/>
  <c r="E10" i="2" s="1"/>
  <c r="E20" i="2" a="1"/>
  <c r="E20" i="2" s="1"/>
  <c r="E30" i="2" a="1"/>
  <c r="E30" i="2" s="1"/>
  <c r="E71" i="2" a="1"/>
  <c r="E71" i="2" s="1"/>
  <c r="E33" i="2" a="1"/>
  <c r="E33" i="2" s="1"/>
  <c r="E23" i="2" a="1"/>
  <c r="E23" i="2" s="1"/>
  <c r="E21" i="2" a="1"/>
  <c r="E21" i="2" s="1"/>
  <c r="E52" i="2" a="1"/>
  <c r="E52" i="2" s="1"/>
  <c r="E73" i="2" a="1"/>
  <c r="E73" i="2" s="1"/>
  <c r="E53" i="2" a="1"/>
  <c r="E53" i="2" s="1"/>
  <c r="E14" i="2" a="1"/>
  <c r="E14" i="2" s="1"/>
  <c r="E11" i="2" a="1"/>
  <c r="E11" i="2" s="1"/>
  <c r="E12" i="2" a="1"/>
  <c r="E12" i="2" s="1"/>
  <c r="E55" i="2" a="1"/>
  <c r="E55" i="2" s="1"/>
  <c r="E56" i="2" a="1"/>
  <c r="E56" i="2" s="1"/>
  <c r="J14" i="2" a="1"/>
  <c r="J14" i="2" s="1"/>
  <c r="J32" i="2" a="1"/>
  <c r="J32" i="2" s="1"/>
  <c r="J50" i="2" a="1"/>
  <c r="J50" i="2" s="1"/>
  <c r="J68" i="2" a="1"/>
  <c r="J68" i="2" s="1"/>
  <c r="I8" i="2" a="1"/>
  <c r="I8" i="2" s="1"/>
  <c r="I18" i="2" a="1"/>
  <c r="I18" i="2" s="1"/>
  <c r="I39" i="2" a="1"/>
  <c r="I39" i="2" s="1"/>
  <c r="I49" i="2" a="1"/>
  <c r="I49" i="2" s="1"/>
  <c r="I59" i="2" a="1"/>
  <c r="I59" i="2" s="1"/>
  <c r="I70" i="2" a="1"/>
  <c r="I70" i="2" s="1"/>
  <c r="H10" i="2" a="1"/>
  <c r="H10" i="2" s="1"/>
  <c r="H19" i="2" a="1"/>
  <c r="H19" i="2" s="1"/>
  <c r="H28" i="2" a="1"/>
  <c r="H28" i="2" s="1"/>
  <c r="H37" i="2" a="1"/>
  <c r="H37" i="2" s="1"/>
  <c r="H46" i="2" a="1"/>
  <c r="H46" i="2" s="1"/>
  <c r="H55" i="2" a="1"/>
  <c r="H55" i="2" s="1"/>
  <c r="H64" i="2" a="1"/>
  <c r="H64" i="2" s="1"/>
  <c r="H73" i="2" a="1"/>
  <c r="H73" i="2" s="1"/>
  <c r="G20" i="2" a="1"/>
  <c r="G20" i="2" s="1"/>
  <c r="G38" i="2" a="1"/>
  <c r="G38" i="2" s="1"/>
  <c r="G56" i="2" a="1"/>
  <c r="G56" i="2" s="1"/>
  <c r="J28" i="2" a="1"/>
  <c r="J28" i="2" s="1"/>
  <c r="I24" i="2" a="1"/>
  <c r="I24" i="2" s="1"/>
  <c r="H6" i="2" a="1"/>
  <c r="H6" i="2" s="1"/>
  <c r="H51" i="2" a="1"/>
  <c r="H51" i="2" s="1"/>
  <c r="G34" i="2" a="1"/>
  <c r="G34" i="2" s="1"/>
  <c r="I67" i="2" a="1"/>
  <c r="I67" i="2" s="1"/>
  <c r="G63" i="2" a="1"/>
  <c r="G63" i="2" s="1"/>
  <c r="H45" i="2" a="1"/>
  <c r="H45" i="2" s="1"/>
  <c r="G55" i="2" a="1"/>
  <c r="G55" i="2" s="1"/>
  <c r="J5" i="2" a="1"/>
  <c r="J5" i="2" s="1"/>
  <c r="J15" i="2" a="1"/>
  <c r="J15" i="2" s="1"/>
  <c r="J23" i="2" a="1"/>
  <c r="J23" i="2" s="1"/>
  <c r="J33" i="2" a="1"/>
  <c r="J33" i="2" s="1"/>
  <c r="J41" i="2" a="1"/>
  <c r="J41" i="2" s="1"/>
  <c r="J51" i="2" a="1"/>
  <c r="J51" i="2" s="1"/>
  <c r="J59" i="2" a="1"/>
  <c r="J59" i="2" s="1"/>
  <c r="J69" i="2" a="1"/>
  <c r="J69" i="2" s="1"/>
  <c r="I9" i="2" a="1"/>
  <c r="I9" i="2" s="1"/>
  <c r="I19" i="2" a="1"/>
  <c r="I19" i="2" s="1"/>
  <c r="I29" i="2" a="1"/>
  <c r="I29" i="2" s="1"/>
  <c r="I40" i="2" a="1"/>
  <c r="I40" i="2" s="1"/>
  <c r="I50" i="2" a="1"/>
  <c r="I50" i="2" s="1"/>
  <c r="I60" i="2" a="1"/>
  <c r="I60" i="2" s="1"/>
  <c r="G11" i="2" a="1"/>
  <c r="G11" i="2" s="1"/>
  <c r="G21" i="2" a="1"/>
  <c r="G21" i="2" s="1"/>
  <c r="G29" i="2" a="1"/>
  <c r="G29" i="2" s="1"/>
  <c r="G39" i="2" a="1"/>
  <c r="G39" i="2" s="1"/>
  <c r="G47" i="2" a="1"/>
  <c r="G47" i="2" s="1"/>
  <c r="G57" i="2" a="1"/>
  <c r="G57" i="2" s="1"/>
  <c r="G65" i="2" a="1"/>
  <c r="G65" i="2" s="1"/>
  <c r="J46" i="2" a="1"/>
  <c r="J46" i="2" s="1"/>
  <c r="H33" i="2" a="1"/>
  <c r="H33" i="2" s="1"/>
  <c r="G7" i="2" a="1"/>
  <c r="G7" i="2" s="1"/>
  <c r="G52" i="2" a="1"/>
  <c r="G52" i="2" s="1"/>
  <c r="G72" i="2" a="1"/>
  <c r="G72" i="2" s="1"/>
  <c r="H54" i="2" a="1"/>
  <c r="H54" i="2" s="1"/>
  <c r="J6" i="2" a="1"/>
  <c r="J6" i="2" s="1"/>
  <c r="J24" i="2" a="1"/>
  <c r="J24" i="2" s="1"/>
  <c r="J42" i="2" a="1"/>
  <c r="J42" i="2" s="1"/>
  <c r="J60" i="2" a="1"/>
  <c r="J60" i="2" s="1"/>
  <c r="I10" i="2" a="1"/>
  <c r="I10" i="2" s="1"/>
  <c r="I20" i="2" a="1"/>
  <c r="I20" i="2" s="1"/>
  <c r="I30" i="2" a="1"/>
  <c r="I30" i="2" s="1"/>
  <c r="I51" i="2" a="1"/>
  <c r="I51" i="2" s="1"/>
  <c r="I61" i="2" a="1"/>
  <c r="I61" i="2" s="1"/>
  <c r="I71" i="2" a="1"/>
  <c r="I71" i="2" s="1"/>
  <c r="H11" i="2" a="1"/>
  <c r="H11" i="2" s="1"/>
  <c r="H20" i="2" a="1"/>
  <c r="H20" i="2" s="1"/>
  <c r="H29" i="2" a="1"/>
  <c r="H29" i="2" s="1"/>
  <c r="H38" i="2" a="1"/>
  <c r="H38" i="2" s="1"/>
  <c r="H47" i="2" a="1"/>
  <c r="H47" i="2" s="1"/>
  <c r="H56" i="2" a="1"/>
  <c r="H56" i="2" s="1"/>
  <c r="H65" i="2" a="1"/>
  <c r="H65" i="2" s="1"/>
  <c r="H74" i="2" a="1"/>
  <c r="H74" i="2" s="1"/>
  <c r="G12" i="2" a="1"/>
  <c r="G12" i="2" s="1"/>
  <c r="G30" i="2" a="1"/>
  <c r="G30" i="2" s="1"/>
  <c r="G48" i="2" a="1"/>
  <c r="G48" i="2" s="1"/>
  <c r="G66" i="2" a="1"/>
  <c r="G66" i="2" s="1"/>
  <c r="J64" i="2" a="1"/>
  <c r="J64" i="2" s="1"/>
  <c r="H24" i="2" a="1"/>
  <c r="H24" i="2" s="1"/>
  <c r="G43" i="2" a="1"/>
  <c r="G43" i="2" s="1"/>
  <c r="G9" i="2" a="1"/>
  <c r="G9" i="2" s="1"/>
  <c r="G19" i="2" a="1"/>
  <c r="G19" i="2" s="1"/>
  <c r="J7" i="2" a="1"/>
  <c r="J7" i="2" s="1"/>
  <c r="J16" i="2" a="1"/>
  <c r="J16" i="2" s="1"/>
  <c r="J25" i="2" a="1"/>
  <c r="J25" i="2" s="1"/>
  <c r="J34" i="2" a="1"/>
  <c r="J34" i="2" s="1"/>
  <c r="J43" i="2" a="1"/>
  <c r="J43" i="2" s="1"/>
  <c r="J52" i="2" a="1"/>
  <c r="J52" i="2" s="1"/>
  <c r="J61" i="2" a="1"/>
  <c r="J61" i="2" s="1"/>
  <c r="J70" i="2" a="1"/>
  <c r="J70" i="2" s="1"/>
  <c r="I21" i="2" a="1"/>
  <c r="I21" i="2" s="1"/>
  <c r="I31" i="2" a="1"/>
  <c r="I31" i="2" s="1"/>
  <c r="I41" i="2" a="1"/>
  <c r="I41" i="2" s="1"/>
  <c r="I52" i="2" a="1"/>
  <c r="I52" i="2" s="1"/>
  <c r="I62" i="2" a="1"/>
  <c r="I62" i="2" s="1"/>
  <c r="I72" i="2" a="1"/>
  <c r="I72" i="2" s="1"/>
  <c r="H12" i="2" a="1"/>
  <c r="H12" i="2" s="1"/>
  <c r="H21" i="2" a="1"/>
  <c r="H21" i="2" s="1"/>
  <c r="H30" i="2" a="1"/>
  <c r="H30" i="2" s="1"/>
  <c r="H39" i="2" a="1"/>
  <c r="H39" i="2" s="1"/>
  <c r="H48" i="2" a="1"/>
  <c r="H48" i="2" s="1"/>
  <c r="H57" i="2" a="1"/>
  <c r="H57" i="2" s="1"/>
  <c r="H66" i="2" a="1"/>
  <c r="H66" i="2" s="1"/>
  <c r="G13" i="2" a="1"/>
  <c r="G13" i="2" s="1"/>
  <c r="G22" i="2" a="1"/>
  <c r="G22" i="2" s="1"/>
  <c r="G31" i="2" a="1"/>
  <c r="G31" i="2" s="1"/>
  <c r="G40" i="2" a="1"/>
  <c r="G40" i="2" s="1"/>
  <c r="G49" i="2" a="1"/>
  <c r="G49" i="2" s="1"/>
  <c r="G58" i="2" a="1"/>
  <c r="G58" i="2" s="1"/>
  <c r="G67" i="2" a="1"/>
  <c r="G67" i="2" s="1"/>
  <c r="J37" i="2" a="1"/>
  <c r="J37" i="2" s="1"/>
  <c r="J73" i="2" a="1"/>
  <c r="J73" i="2" s="1"/>
  <c r="I55" i="2" a="1"/>
  <c r="I55" i="2" s="1"/>
  <c r="H42" i="2" a="1"/>
  <c r="H42" i="2" s="1"/>
  <c r="G25" i="2" a="1"/>
  <c r="G25" i="2" s="1"/>
  <c r="I36" i="2" a="1"/>
  <c r="I36" i="2" s="1"/>
  <c r="G35" i="2" a="1"/>
  <c r="G35" i="2" s="1"/>
  <c r="G28" i="2" a="1"/>
  <c r="G28" i="2" s="1"/>
  <c r="J8" i="2" a="1"/>
  <c r="J8" i="2" s="1"/>
  <c r="J26" i="2" a="1"/>
  <c r="J26" i="2" s="1"/>
  <c r="J44" i="2" a="1"/>
  <c r="J44" i="2" s="1"/>
  <c r="J62" i="2" a="1"/>
  <c r="J62" i="2" s="1"/>
  <c r="I11" i="2" a="1"/>
  <c r="I11" i="2" s="1"/>
  <c r="I22" i="2" a="1"/>
  <c r="I22" i="2" s="1"/>
  <c r="I32" i="2" a="1"/>
  <c r="I32" i="2" s="1"/>
  <c r="I42" i="2" a="1"/>
  <c r="I42" i="2" s="1"/>
  <c r="I63" i="2" a="1"/>
  <c r="I63" i="2" s="1"/>
  <c r="I73" i="2" a="1"/>
  <c r="I73" i="2" s="1"/>
  <c r="H13" i="2" a="1"/>
  <c r="H13" i="2" s="1"/>
  <c r="H22" i="2" a="1"/>
  <c r="H22" i="2" s="1"/>
  <c r="H31" i="2" a="1"/>
  <c r="H31" i="2" s="1"/>
  <c r="H40" i="2" a="1"/>
  <c r="H40" i="2" s="1"/>
  <c r="H49" i="2" a="1"/>
  <c r="H49" i="2" s="1"/>
  <c r="H58" i="2" a="1"/>
  <c r="H58" i="2" s="1"/>
  <c r="H67" i="2" a="1"/>
  <c r="H67" i="2" s="1"/>
  <c r="G14" i="2" a="1"/>
  <c r="G14" i="2" s="1"/>
  <c r="G32" i="2" a="1"/>
  <c r="G32" i="2" s="1"/>
  <c r="G50" i="2" a="1"/>
  <c r="G50" i="2" s="1"/>
  <c r="G68" i="2" a="1"/>
  <c r="G68" i="2" s="1"/>
  <c r="J55" i="2" a="1"/>
  <c r="J55" i="2" s="1"/>
  <c r="I45" i="2" a="1"/>
  <c r="I45" i="2" s="1"/>
  <c r="H60" i="2" a="1"/>
  <c r="H60" i="2" s="1"/>
  <c r="G70" i="2" a="1"/>
  <c r="G70" i="2" s="1"/>
  <c r="G17" i="2" a="1"/>
  <c r="G17" i="2" s="1"/>
  <c r="H36" i="2" a="1"/>
  <c r="H36" i="2" s="1"/>
  <c r="G46" i="2" a="1"/>
  <c r="G46" i="2" s="1"/>
  <c r="J9" i="2" a="1"/>
  <c r="J9" i="2" s="1"/>
  <c r="J17" i="2" a="1"/>
  <c r="J17" i="2" s="1"/>
  <c r="J27" i="2" a="1"/>
  <c r="J27" i="2" s="1"/>
  <c r="J35" i="2" a="1"/>
  <c r="J35" i="2" s="1"/>
  <c r="J45" i="2" a="1"/>
  <c r="J45" i="2" s="1"/>
  <c r="J53" i="2" a="1"/>
  <c r="J53" i="2" s="1"/>
  <c r="J63" i="2" a="1"/>
  <c r="J63" i="2" s="1"/>
  <c r="J71" i="2" a="1"/>
  <c r="J71" i="2" s="1"/>
  <c r="I12" i="2" a="1"/>
  <c r="I12" i="2" s="1"/>
  <c r="I33" i="2" a="1"/>
  <c r="I33" i="2" s="1"/>
  <c r="I43" i="2" a="1"/>
  <c r="I43" i="2" s="1"/>
  <c r="I53" i="2" a="1"/>
  <c r="I53" i="2" s="1"/>
  <c r="I64" i="2" a="1"/>
  <c r="I64" i="2" s="1"/>
  <c r="I74" i="2" a="1"/>
  <c r="I74" i="2" s="1"/>
  <c r="G5" i="2" a="1"/>
  <c r="G5" i="2" s="1"/>
  <c r="G15" i="2" a="1"/>
  <c r="G15" i="2" s="1"/>
  <c r="G23" i="2" a="1"/>
  <c r="G23" i="2" s="1"/>
  <c r="G33" i="2" a="1"/>
  <c r="G33" i="2" s="1"/>
  <c r="G41" i="2" a="1"/>
  <c r="G41" i="2" s="1"/>
  <c r="G51" i="2" a="1"/>
  <c r="G51" i="2" s="1"/>
  <c r="G59" i="2" a="1"/>
  <c r="G59" i="2" s="1"/>
  <c r="G69" i="2" a="1"/>
  <c r="G69" i="2" s="1"/>
  <c r="J19" i="2" a="1"/>
  <c r="J19" i="2" s="1"/>
  <c r="I65" i="2" a="1"/>
  <c r="I65" i="2" s="1"/>
  <c r="G16" i="2" a="1"/>
  <c r="G16" i="2" s="1"/>
  <c r="G27" i="2" a="1"/>
  <c r="G27" i="2" s="1"/>
  <c r="H18" i="2" a="1"/>
  <c r="H18" i="2" s="1"/>
  <c r="J18" i="2" a="1"/>
  <c r="J18" i="2" s="1"/>
  <c r="J36" i="2" a="1"/>
  <c r="J36" i="2" s="1"/>
  <c r="J54" i="2" a="1"/>
  <c r="J54" i="2" s="1"/>
  <c r="J72" i="2" a="1"/>
  <c r="J72" i="2" s="1"/>
  <c r="I13" i="2" a="1"/>
  <c r="I13" i="2" s="1"/>
  <c r="I23" i="2" a="1"/>
  <c r="I23" i="2" s="1"/>
  <c r="I34" i="2" a="1"/>
  <c r="I34" i="2" s="1"/>
  <c r="I44" i="2" a="1"/>
  <c r="I44" i="2" s="1"/>
  <c r="I54" i="2" a="1"/>
  <c r="I54" i="2" s="1"/>
  <c r="H5" i="2" a="1"/>
  <c r="H5" i="2" s="1"/>
  <c r="H14" i="2" a="1"/>
  <c r="H14" i="2" s="1"/>
  <c r="H23" i="2" a="1"/>
  <c r="H23" i="2" s="1"/>
  <c r="H32" i="2" a="1"/>
  <c r="H32" i="2" s="1"/>
  <c r="H41" i="2" a="1"/>
  <c r="H41" i="2" s="1"/>
  <c r="H50" i="2" a="1"/>
  <c r="H50" i="2" s="1"/>
  <c r="H59" i="2" a="1"/>
  <c r="H59" i="2" s="1"/>
  <c r="H68" i="2" a="1"/>
  <c r="H68" i="2" s="1"/>
  <c r="G6" i="2" a="1"/>
  <c r="G6" i="2" s="1"/>
  <c r="G24" i="2" a="1"/>
  <c r="G24" i="2" s="1"/>
  <c r="G42" i="2" a="1"/>
  <c r="G42" i="2" s="1"/>
  <c r="G60" i="2" a="1"/>
  <c r="G60" i="2" s="1"/>
  <c r="J10" i="2" a="1"/>
  <c r="J10" i="2" s="1"/>
  <c r="I14" i="2" a="1"/>
  <c r="I14" i="2" s="1"/>
  <c r="H15" i="2" a="1"/>
  <c r="H15" i="2" s="1"/>
  <c r="H69" i="2" a="1"/>
  <c r="H69" i="2" s="1"/>
  <c r="G61" i="2" a="1"/>
  <c r="G61" i="2" s="1"/>
  <c r="G53" i="2" a="1"/>
  <c r="G53" i="2" s="1"/>
  <c r="H72" i="2" a="1"/>
  <c r="H72" i="2" s="1"/>
  <c r="G64" i="2" a="1"/>
  <c r="G64" i="2" s="1"/>
  <c r="J20" i="2" a="1"/>
  <c r="J20" i="2" s="1"/>
  <c r="J38" i="2" a="1"/>
  <c r="J38" i="2" s="1"/>
  <c r="J56" i="2" a="1"/>
  <c r="J56" i="2" s="1"/>
  <c r="J74" i="2" a="1"/>
  <c r="J74" i="2" s="1"/>
  <c r="I15" i="2" a="1"/>
  <c r="I15" i="2" s="1"/>
  <c r="I25" i="2" a="1"/>
  <c r="I25" i="2" s="1"/>
  <c r="I35" i="2" a="1"/>
  <c r="I35" i="2" s="1"/>
  <c r="I46" i="2" a="1"/>
  <c r="I46" i="2" s="1"/>
  <c r="I56" i="2" a="1"/>
  <c r="I56" i="2" s="1"/>
  <c r="I66" i="2" a="1"/>
  <c r="I66" i="2" s="1"/>
  <c r="H7" i="2" a="1"/>
  <c r="H7" i="2" s="1"/>
  <c r="H16" i="2" a="1"/>
  <c r="H16" i="2" s="1"/>
  <c r="H25" i="2" a="1"/>
  <c r="H25" i="2" s="1"/>
  <c r="H34" i="2" a="1"/>
  <c r="H34" i="2" s="1"/>
  <c r="H43" i="2" a="1"/>
  <c r="H43" i="2" s="1"/>
  <c r="H52" i="2" a="1"/>
  <c r="H52" i="2" s="1"/>
  <c r="H61" i="2" a="1"/>
  <c r="H61" i="2" s="1"/>
  <c r="H70" i="2" a="1"/>
  <c r="H70" i="2" s="1"/>
  <c r="G8" i="2" a="1"/>
  <c r="G8" i="2" s="1"/>
  <c r="G26" i="2" a="1"/>
  <c r="G26" i="2" s="1"/>
  <c r="G44" i="2" a="1"/>
  <c r="G44" i="2" s="1"/>
  <c r="G62" i="2" a="1"/>
  <c r="G62" i="2" s="1"/>
  <c r="G71" i="2" a="1"/>
  <c r="G71" i="2" s="1"/>
  <c r="J11" i="2" a="1"/>
  <c r="J11" i="2" s="1"/>
  <c r="J21" i="2" a="1"/>
  <c r="J21" i="2" s="1"/>
  <c r="J29" i="2" a="1"/>
  <c r="J29" i="2" s="1"/>
  <c r="J39" i="2" a="1"/>
  <c r="J39" i="2" s="1"/>
  <c r="J47" i="2" a="1"/>
  <c r="J47" i="2" s="1"/>
  <c r="J57" i="2" a="1"/>
  <c r="J57" i="2" s="1"/>
  <c r="J65" i="2" a="1"/>
  <c r="J65" i="2" s="1"/>
  <c r="I5" i="2" a="1"/>
  <c r="I5" i="2" s="1"/>
  <c r="I16" i="2" a="1"/>
  <c r="I16" i="2" s="1"/>
  <c r="I26" i="2" a="1"/>
  <c r="I26" i="2" s="1"/>
  <c r="I57" i="2" a="1"/>
  <c r="I57" i="2" s="1"/>
  <c r="G45" i="2" a="1"/>
  <c r="G45" i="2" s="1"/>
  <c r="G10" i="2" a="1"/>
  <c r="G10" i="2" s="1"/>
  <c r="G74" i="2" a="1"/>
  <c r="G74" i="2" s="1"/>
  <c r="J12" i="2" a="1"/>
  <c r="J12" i="2" s="1"/>
  <c r="J30" i="2" a="1"/>
  <c r="J30" i="2" s="1"/>
  <c r="J48" i="2" a="1"/>
  <c r="J48" i="2" s="1"/>
  <c r="J66" i="2" a="1"/>
  <c r="J66" i="2" s="1"/>
  <c r="I6" i="2" a="1"/>
  <c r="I6" i="2" s="1"/>
  <c r="I27" i="2" a="1"/>
  <c r="I27" i="2" s="1"/>
  <c r="I37" i="2" a="1"/>
  <c r="I37" i="2" s="1"/>
  <c r="I47" i="2" a="1"/>
  <c r="I47" i="2" s="1"/>
  <c r="I58" i="2" a="1"/>
  <c r="I58" i="2" s="1"/>
  <c r="I68" i="2" a="1"/>
  <c r="I68" i="2" s="1"/>
  <c r="H8" i="2" a="1"/>
  <c r="H8" i="2" s="1"/>
  <c r="H17" i="2" a="1"/>
  <c r="H17" i="2" s="1"/>
  <c r="H26" i="2" a="1"/>
  <c r="H26" i="2" s="1"/>
  <c r="H35" i="2" a="1"/>
  <c r="H35" i="2" s="1"/>
  <c r="H44" i="2" a="1"/>
  <c r="H44" i="2" s="1"/>
  <c r="H53" i="2" a="1"/>
  <c r="H53" i="2" s="1"/>
  <c r="H62" i="2" a="1"/>
  <c r="H62" i="2" s="1"/>
  <c r="H71" i="2" a="1"/>
  <c r="H71" i="2" s="1"/>
  <c r="G18" i="2" a="1"/>
  <c r="G18" i="2" s="1"/>
  <c r="G36" i="2" a="1"/>
  <c r="G36" i="2" s="1"/>
  <c r="G54" i="2" a="1"/>
  <c r="G54" i="2" s="1"/>
  <c r="G73" i="2" a="1"/>
  <c r="G73" i="2" s="1"/>
  <c r="J13" i="2" a="1"/>
  <c r="J13" i="2" s="1"/>
  <c r="J22" i="2" a="1"/>
  <c r="J22" i="2" s="1"/>
  <c r="J31" i="2" a="1"/>
  <c r="J31" i="2" s="1"/>
  <c r="J40" i="2" a="1"/>
  <c r="J40" i="2" s="1"/>
  <c r="J49" i="2" a="1"/>
  <c r="J49" i="2" s="1"/>
  <c r="J58" i="2" a="1"/>
  <c r="J58" i="2" s="1"/>
  <c r="J67" i="2" a="1"/>
  <c r="J67" i="2" s="1"/>
  <c r="I7" i="2" a="1"/>
  <c r="I7" i="2" s="1"/>
  <c r="I17" i="2" a="1"/>
  <c r="I17" i="2" s="1"/>
  <c r="I28" i="2" a="1"/>
  <c r="I28" i="2" s="1"/>
  <c r="I38" i="2" a="1"/>
  <c r="I38" i="2" s="1"/>
  <c r="I48" i="2" a="1"/>
  <c r="I48" i="2" s="1"/>
  <c r="I69" i="2" a="1"/>
  <c r="I69" i="2" s="1"/>
  <c r="H9" i="2" a="1"/>
  <c r="H9" i="2" s="1"/>
  <c r="H27" i="2" a="1"/>
  <c r="H27" i="2" s="1"/>
  <c r="H63" i="2" a="1"/>
  <c r="H63" i="2" s="1"/>
  <c r="G37" i="2" a="1"/>
  <c r="G37" i="2" s="1"/>
  <c r="H5" i="1" a="1"/>
  <c r="H5" i="1" s="1"/>
  <c r="D7" i="2" a="1"/>
  <c r="D7" i="2" s="1"/>
  <c r="D19" i="2" a="1"/>
  <c r="D19" i="2" s="1"/>
  <c r="D38" i="2" a="1"/>
  <c r="D38" i="2" s="1"/>
  <c r="D48" i="2" a="1"/>
  <c r="D48" i="2" s="1"/>
  <c r="D24" i="2" a="1"/>
  <c r="D24" i="2" s="1"/>
  <c r="D70" i="2" a="1"/>
  <c r="D70" i="2" s="1"/>
  <c r="D4" i="2" a="1"/>
  <c r="D4" i="2" s="1"/>
  <c r="D44" i="2" a="1"/>
  <c r="D44" i="2" s="1"/>
  <c r="D25" i="2" a="1"/>
  <c r="D25" i="2" s="1"/>
  <c r="D21" i="2" a="1"/>
  <c r="D21" i="2" s="1"/>
  <c r="D55" i="2" a="1"/>
  <c r="D55" i="2" s="1"/>
  <c r="D66" i="2" a="1"/>
  <c r="D66" i="2" s="1"/>
  <c r="D58" i="2" a="1"/>
  <c r="D58" i="2" s="1"/>
  <c r="D32" i="2" a="1"/>
  <c r="D32" i="2" s="1"/>
  <c r="D35" i="2" a="1"/>
  <c r="D35" i="2" s="1"/>
  <c r="D10" i="2" a="1"/>
  <c r="D10" i="2" s="1"/>
  <c r="D53" i="2" a="1"/>
  <c r="D53" i="2" s="1"/>
  <c r="D60" i="2" a="1"/>
  <c r="D60" i="2" s="1"/>
  <c r="D6" i="2" a="1"/>
  <c r="D6" i="2" s="1"/>
  <c r="D68" i="2" a="1"/>
  <c r="D68" i="2" s="1"/>
  <c r="D50" i="2" a="1"/>
  <c r="D50" i="2" s="1"/>
  <c r="D28" i="2" a="1"/>
  <c r="D28" i="2" s="1"/>
  <c r="D18" i="2" a="1"/>
  <c r="D18" i="2" s="1"/>
  <c r="D63" i="2" a="1"/>
  <c r="D63" i="2" s="1"/>
  <c r="D31" i="2" a="1"/>
  <c r="D31" i="2" s="1"/>
  <c r="D29" i="2" a="1"/>
  <c r="D29" i="2" s="1"/>
  <c r="D14" i="2" a="1"/>
  <c r="D14" i="2" s="1"/>
  <c r="D15" i="2" a="1"/>
  <c r="D15" i="2" s="1"/>
  <c r="D59" i="2" a="1"/>
  <c r="D59" i="2" s="1"/>
  <c r="D46" i="2" a="1"/>
  <c r="D46" i="2" s="1"/>
  <c r="D26" i="2" a="1"/>
  <c r="D26" i="2" s="1"/>
  <c r="D72" i="2" a="1"/>
  <c r="D72" i="2" s="1"/>
  <c r="D56" i="2" a="1"/>
  <c r="D56" i="2" s="1"/>
  <c r="D20" i="2" a="1"/>
  <c r="D20" i="2" s="1"/>
  <c r="D22" i="2" a="1"/>
  <c r="D22" i="2" s="1"/>
  <c r="D23" i="2" a="1"/>
  <c r="D23" i="2" s="1"/>
  <c r="D69" i="2" a="1"/>
  <c r="D69" i="2" s="1"/>
  <c r="D9" i="2" a="1"/>
  <c r="D9" i="2" s="1"/>
  <c r="D34" i="2" a="1"/>
  <c r="D34" i="2" s="1"/>
  <c r="D11" i="2" a="1"/>
  <c r="D11" i="2" s="1"/>
  <c r="D61" i="2" a="1"/>
  <c r="D61" i="2" s="1"/>
  <c r="D41" i="2" a="1"/>
  <c r="D41" i="2" s="1"/>
  <c r="D39" i="2" a="1"/>
  <c r="D39" i="2" s="1"/>
  <c r="D30" i="2" a="1"/>
  <c r="D30" i="2" s="1"/>
  <c r="D40" i="2" a="1"/>
  <c r="D40" i="2" s="1"/>
  <c r="D54" i="2" a="1"/>
  <c r="D54" i="2" s="1"/>
  <c r="D17" i="2" a="1"/>
  <c r="D17" i="2" s="1"/>
  <c r="D43" i="2" a="1"/>
  <c r="D43" i="2" s="1"/>
  <c r="D74" i="2" a="1"/>
  <c r="D74" i="2" s="1"/>
  <c r="D27" i="2" a="1"/>
  <c r="D27" i="2" s="1"/>
  <c r="D16" i="2" a="1"/>
  <c r="D16" i="2" s="1"/>
  <c r="D47" i="2" a="1"/>
  <c r="D47" i="2" s="1"/>
  <c r="D49" i="2" a="1"/>
  <c r="D49" i="2" s="1"/>
  <c r="D73" i="2" a="1"/>
  <c r="D73" i="2" s="1"/>
  <c r="D33" i="2" a="1"/>
  <c r="D33" i="2" s="1"/>
  <c r="D52" i="2" a="1"/>
  <c r="D52" i="2" s="1"/>
  <c r="D65" i="2" a="1"/>
  <c r="D65" i="2" s="1"/>
  <c r="D8" i="2" a="1"/>
  <c r="D8" i="2" s="1"/>
  <c r="D57" i="2" a="1"/>
  <c r="D57" i="2" s="1"/>
  <c r="D64" i="2" a="1"/>
  <c r="D64" i="2" s="1"/>
  <c r="D45" i="2" a="1"/>
  <c r="D45" i="2" s="1"/>
  <c r="D42" i="2" a="1"/>
  <c r="D42" i="2" s="1"/>
  <c r="D62" i="2" a="1"/>
  <c r="D62" i="2" s="1"/>
  <c r="D36" i="2" a="1"/>
  <c r="D36" i="2" s="1"/>
  <c r="D13" i="2" a="1"/>
  <c r="D13" i="2" s="1"/>
  <c r="D67" i="2" a="1"/>
  <c r="D67" i="2" s="1"/>
  <c r="D12" i="2" a="1"/>
  <c r="D12" i="2" s="1"/>
  <c r="D37" i="2" a="1"/>
  <c r="D37" i="2" s="1"/>
  <c r="D51" i="2" a="1"/>
  <c r="D51" i="2" s="1"/>
  <c r="D71" i="2" a="1"/>
  <c r="D71" i="2" s="1"/>
  <c r="D5" i="2" a="1"/>
  <c r="D5" i="2" s="1"/>
  <c r="C4" i="2"/>
  <c r="E4" i="2" s="1" a="1"/>
  <c r="E4" i="2" s="1"/>
  <c r="F5" i="2" a="1"/>
  <c r="F5" i="2" s="1"/>
  <c r="F74" i="2" a="1"/>
  <c r="F74" i="2" s="1"/>
  <c r="F48" i="2" a="1"/>
  <c r="F48" i="2" s="1"/>
  <c r="F31" i="2" a="1"/>
  <c r="F31" i="2" s="1"/>
  <c r="F26" i="2" a="1"/>
  <c r="F26" i="2" s="1"/>
  <c r="F33" i="2" a="1"/>
  <c r="F33" i="2" s="1"/>
  <c r="F11" i="2" a="1"/>
  <c r="F11" i="2" s="1"/>
  <c r="F69" i="2" a="1"/>
  <c r="F69" i="2" s="1"/>
  <c r="F54" i="2" a="1"/>
  <c r="F54" i="2" s="1"/>
  <c r="F37" i="2" a="1"/>
  <c r="F37" i="2" s="1"/>
  <c r="F32" i="2" a="1"/>
  <c r="F32" i="2" s="1"/>
  <c r="F39" i="2" a="1"/>
  <c r="F39" i="2" s="1"/>
  <c r="F42" i="2" a="1"/>
  <c r="F42" i="2" s="1"/>
  <c r="F17" i="2" a="1"/>
  <c r="F17" i="2" s="1"/>
  <c r="F70" i="2" a="1"/>
  <c r="F70" i="2" s="1"/>
  <c r="F60" i="2" a="1"/>
  <c r="F60" i="2" s="1"/>
  <c r="F43" i="2" a="1"/>
  <c r="F43" i="2" s="1"/>
  <c r="F38" i="2" a="1"/>
  <c r="F38" i="2" s="1"/>
  <c r="F57" i="2" a="1"/>
  <c r="F57" i="2" s="1"/>
  <c r="F23" i="2" a="1"/>
  <c r="F23" i="2" s="1"/>
  <c r="F45" i="2" a="1"/>
  <c r="F45" i="2" s="1"/>
  <c r="F66" i="2" a="1"/>
  <c r="F66" i="2" s="1"/>
  <c r="F49" i="2" a="1"/>
  <c r="F49" i="2" s="1"/>
  <c r="F44" i="2" a="1"/>
  <c r="F44" i="2" s="1"/>
  <c r="F52" i="2" a="1"/>
  <c r="F52" i="2" s="1"/>
  <c r="F4" i="2" a="1"/>
  <c r="F4" i="2" s="1"/>
  <c r="F29" i="2" a="1"/>
  <c r="F29" i="2" s="1"/>
  <c r="F40" i="2" a="1"/>
  <c r="F40" i="2" s="1"/>
  <c r="F72" i="2" a="1"/>
  <c r="F72" i="2" s="1"/>
  <c r="F55" i="2" a="1"/>
  <c r="F55" i="2" s="1"/>
  <c r="F50" i="2" a="1"/>
  <c r="F50" i="2" s="1"/>
  <c r="F10" i="2" a="1"/>
  <c r="F10" i="2" s="1"/>
  <c r="F35" i="2" a="1"/>
  <c r="F35" i="2" s="1"/>
  <c r="F6" i="2" a="1"/>
  <c r="F6" i="2" s="1"/>
  <c r="F51" i="2" a="1"/>
  <c r="F51" i="2" s="1"/>
  <c r="F61" i="2" a="1"/>
  <c r="F61" i="2" s="1"/>
  <c r="F62" i="2" a="1"/>
  <c r="F62" i="2" s="1"/>
  <c r="F16" i="2" a="1"/>
  <c r="F16" i="2" s="1"/>
  <c r="F41" i="2" a="1"/>
  <c r="F41" i="2" s="1"/>
  <c r="F12" i="2" a="1"/>
  <c r="F12" i="2" s="1"/>
  <c r="F64" i="2" a="1"/>
  <c r="F64" i="2" s="1"/>
  <c r="F73" i="2" a="1"/>
  <c r="F73" i="2" s="1"/>
  <c r="F68" i="2" a="1"/>
  <c r="F68" i="2" s="1"/>
  <c r="F22" i="2" a="1"/>
  <c r="F22" i="2" s="1"/>
  <c r="F20" i="2" a="1"/>
  <c r="F20" i="2" s="1"/>
  <c r="F47" i="2" a="1"/>
  <c r="F47" i="2" s="1"/>
  <c r="F18" i="2" a="1"/>
  <c r="F18" i="2" s="1"/>
  <c r="F67" i="2" a="1"/>
  <c r="F67" i="2" s="1"/>
  <c r="F56" i="2" a="1"/>
  <c r="F56" i="2" s="1"/>
  <c r="F63" i="2" a="1"/>
  <c r="F63" i="2" s="1"/>
  <c r="F28" i="2" a="1"/>
  <c r="F28" i="2" s="1"/>
  <c r="F27" i="2" a="1"/>
  <c r="F27" i="2" s="1"/>
  <c r="F53" i="2" a="1"/>
  <c r="F53" i="2" s="1"/>
  <c r="F24" i="2" a="1"/>
  <c r="F24" i="2" s="1"/>
  <c r="F7" i="2" a="1"/>
  <c r="F7" i="2" s="1"/>
  <c r="F46" i="2" a="1"/>
  <c r="F46" i="2" s="1"/>
  <c r="F9" i="2" a="1"/>
  <c r="F9" i="2" s="1"/>
  <c r="F34" i="2" a="1"/>
  <c r="F34" i="2" s="1"/>
  <c r="F25" i="2" a="1"/>
  <c r="F25" i="2" s="1"/>
  <c r="F59" i="2" a="1"/>
  <c r="F59" i="2" s="1"/>
  <c r="F30" i="2" a="1"/>
  <c r="F30" i="2" s="1"/>
  <c r="F13" i="2" a="1"/>
  <c r="F13" i="2" s="1"/>
  <c r="F8" i="2" a="1"/>
  <c r="F8" i="2" s="1"/>
  <c r="F15" i="2" a="1"/>
  <c r="F15" i="2" s="1"/>
  <c r="F58" i="2" a="1"/>
  <c r="F58" i="2" s="1"/>
  <c r="F71" i="2" a="1"/>
  <c r="F71" i="2" s="1"/>
  <c r="F65" i="2" a="1"/>
  <c r="F65" i="2" s="1"/>
  <c r="F36" i="2" a="1"/>
  <c r="F36" i="2" s="1"/>
  <c r="F19" i="2" a="1"/>
  <c r="F19" i="2" s="1"/>
  <c r="F14" i="2" a="1"/>
  <c r="F14" i="2" s="1"/>
  <c r="F21" i="2" a="1"/>
  <c r="F21" i="2" s="1"/>
  <c r="J4" i="2" l="1" a="1"/>
  <c r="J4" i="2" s="1"/>
  <c r="G4" i="2" a="1"/>
  <c r="G4" i="2" s="1"/>
  <c r="I4" i="2" a="1"/>
  <c r="I4" i="2" s="1"/>
  <c r="H4" i="2" a="1"/>
  <c r="H4" i="2" s="1"/>
  <c r="E4" i="1" a="1"/>
  <c r="E4" i="1" s="1"/>
  <c r="I5" i="1" a="1"/>
  <c r="I5" i="1" s="1"/>
  <c r="N5" i="1" l="1" a="1"/>
  <c r="N5" i="1" s="1"/>
  <c r="F5" i="1" a="1"/>
  <c r="F5" i="1" s="1"/>
  <c r="K7" i="1" s="1"/>
  <c r="K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<sst xmlns="http://schemas.openxmlformats.org/spreadsheetml/2006/main" count="4858" uniqueCount="139">
  <si>
    <t>Year</t>
  </si>
  <si>
    <t>PLAN #1</t>
  </si>
  <si>
    <t>PLAN #3</t>
  </si>
  <si>
    <t>PLAN #5</t>
  </si>
  <si>
    <t>MAX AGE</t>
  </si>
  <si>
    <t>MIN AGE</t>
  </si>
  <si>
    <t>START AGE</t>
  </si>
  <si>
    <t>FORMULATED</t>
  </si>
  <si>
    <t xml:space="preserve">PLAN #2 </t>
  </si>
  <si>
    <t>END AGE</t>
  </si>
  <si>
    <t>PAYMENT</t>
  </si>
  <si>
    <t xml:space="preserve">PLAN #4 </t>
  </si>
  <si>
    <t>PAYMENT 1</t>
  </si>
  <si>
    <t>PAYMENT 2</t>
  </si>
  <si>
    <t>POLICY PARAMETERS</t>
  </si>
  <si>
    <t>TOTAL PAYMENT</t>
  </si>
  <si>
    <t>TOTAL PAYMENT DURATION</t>
  </si>
  <si>
    <t>AGE OF LAST PAYMENT</t>
  </si>
  <si>
    <t>Expected Annuity Payment</t>
  </si>
  <si>
    <t xml:space="preserve">ANNUITY ILLUSTRATION TOOL </t>
  </si>
  <si>
    <t>PLAN #6</t>
  </si>
  <si>
    <t>PLAN #7</t>
  </si>
  <si>
    <t>INPUTS</t>
  </si>
  <si>
    <t>OUTPUTS</t>
  </si>
  <si>
    <t>AGE PAYMENT BEGINS</t>
  </si>
  <si>
    <t>POLICY DURATION</t>
  </si>
  <si>
    <t>AGE</t>
  </si>
  <si>
    <t>PLAN TYPE</t>
  </si>
  <si>
    <t>Plan Type</t>
  </si>
  <si>
    <t>Client Name</t>
  </si>
  <si>
    <t>Plan #</t>
  </si>
  <si>
    <t>Age Payments Begin</t>
  </si>
  <si>
    <t>Client # 1</t>
  </si>
  <si>
    <t>Client # 2</t>
  </si>
  <si>
    <t>Client # 3</t>
  </si>
  <si>
    <t>Client # 4</t>
  </si>
  <si>
    <t>Client # 5</t>
  </si>
  <si>
    <t>Client # 6</t>
  </si>
  <si>
    <t>Client # 7</t>
  </si>
  <si>
    <t>Client # 8</t>
  </si>
  <si>
    <t>Client # 9</t>
  </si>
  <si>
    <t>Client # 10</t>
  </si>
  <si>
    <t>Client # 11</t>
  </si>
  <si>
    <t>Client # 12</t>
  </si>
  <si>
    <t>Client # 13</t>
  </si>
  <si>
    <t>Client # 14</t>
  </si>
  <si>
    <t>Client # 15</t>
  </si>
  <si>
    <t>Client # 16</t>
  </si>
  <si>
    <t>Client # 17</t>
  </si>
  <si>
    <t>Client # 18</t>
  </si>
  <si>
    <t>Client # 19</t>
  </si>
  <si>
    <t>Client # 20</t>
  </si>
  <si>
    <t>Client # 21</t>
  </si>
  <si>
    <t>Client # 22</t>
  </si>
  <si>
    <t>Client # 23</t>
  </si>
  <si>
    <t>Client # 24</t>
  </si>
  <si>
    <t>Client # 25</t>
  </si>
  <si>
    <t>Client # 26</t>
  </si>
  <si>
    <t>Client # 27</t>
  </si>
  <si>
    <t>Client # 28</t>
  </si>
  <si>
    <t>Client # 29</t>
  </si>
  <si>
    <t>Client # 30</t>
  </si>
  <si>
    <t>Client # 31</t>
  </si>
  <si>
    <t>Client # 32</t>
  </si>
  <si>
    <t>Client # 33</t>
  </si>
  <si>
    <t>Client # 34</t>
  </si>
  <si>
    <t>Client # 35</t>
  </si>
  <si>
    <t>Client # 36</t>
  </si>
  <si>
    <t>Client # 37</t>
  </si>
  <si>
    <t>Client # 38</t>
  </si>
  <si>
    <t>Client # 39</t>
  </si>
  <si>
    <t>Client # 40</t>
  </si>
  <si>
    <t>Client # 41</t>
  </si>
  <si>
    <t>Client # 42</t>
  </si>
  <si>
    <t>Client # 43</t>
  </si>
  <si>
    <t>Client # 44</t>
  </si>
  <si>
    <t>Client # 45</t>
  </si>
  <si>
    <t>Client # 46</t>
  </si>
  <si>
    <t>Client # 47</t>
  </si>
  <si>
    <t>Client # 48</t>
  </si>
  <si>
    <t>Client # 49</t>
  </si>
  <si>
    <t>Client # 50</t>
  </si>
  <si>
    <t>Client # 51</t>
  </si>
  <si>
    <t>Client # 52</t>
  </si>
  <si>
    <t>Client # 53</t>
  </si>
  <si>
    <t>Client # 54</t>
  </si>
  <si>
    <t>Client # 55</t>
  </si>
  <si>
    <t>Client # 56</t>
  </si>
  <si>
    <t>Client # 57</t>
  </si>
  <si>
    <t>Client # 58</t>
  </si>
  <si>
    <t>Client # 59</t>
  </si>
  <si>
    <t>Client # 60</t>
  </si>
  <si>
    <t>Client # 61</t>
  </si>
  <si>
    <t>Client # 62</t>
  </si>
  <si>
    <t>Client # 63</t>
  </si>
  <si>
    <t>Client # 64</t>
  </si>
  <si>
    <t>Client # 65</t>
  </si>
  <si>
    <t>Client # 66</t>
  </si>
  <si>
    <t>Client # 67</t>
  </si>
  <si>
    <t>Client # 68</t>
  </si>
  <si>
    <t>Client # 69</t>
  </si>
  <si>
    <t>Client # 70</t>
  </si>
  <si>
    <t>Client # 71</t>
  </si>
  <si>
    <t>Client # 72</t>
  </si>
  <si>
    <t>Client # 73</t>
  </si>
  <si>
    <t>Client # 74</t>
  </si>
  <si>
    <t>Client # 75</t>
  </si>
  <si>
    <t>Client # 76</t>
  </si>
  <si>
    <t>Client # 77</t>
  </si>
  <si>
    <t>Client # 78</t>
  </si>
  <si>
    <t>Client # 79</t>
  </si>
  <si>
    <t>Client # 80</t>
  </si>
  <si>
    <t>Client # 81</t>
  </si>
  <si>
    <t>Client # 82</t>
  </si>
  <si>
    <t>Client # 83</t>
  </si>
  <si>
    <t>Client # 84</t>
  </si>
  <si>
    <t>Client # 85</t>
  </si>
  <si>
    <t>Client # 86</t>
  </si>
  <si>
    <t>Client # 87</t>
  </si>
  <si>
    <t>Client # 88</t>
  </si>
  <si>
    <t>Client # 89</t>
  </si>
  <si>
    <t>Client # 90</t>
  </si>
  <si>
    <t>Client # 91</t>
  </si>
  <si>
    <t>Client # 92</t>
  </si>
  <si>
    <t>Client # 93</t>
  </si>
  <si>
    <t>Client # 94</t>
  </si>
  <si>
    <t>Client # 95</t>
  </si>
  <si>
    <t>Client # 96</t>
  </si>
  <si>
    <t>Client # 97</t>
  </si>
  <si>
    <t>Client # 98</t>
  </si>
  <si>
    <t>Client # 99</t>
  </si>
  <si>
    <t>Client # 100</t>
  </si>
  <si>
    <t>Expected Payment</t>
  </si>
  <si>
    <t>TOTAL EXPECTED PAYMENT</t>
  </si>
  <si>
    <t>INITIAL PAYMENT</t>
  </si>
  <si>
    <t>INCREAMENT</t>
  </si>
  <si>
    <t>Current Age</t>
  </si>
  <si>
    <t>Years of Payment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</si>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</sst>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1009]#,##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" fontId="0" fillId="0" borderId="1" xfId="0" applyNumberFormat="1" applyBorder="1"/>
    <xf numFmtId="164" fontId="0" fillId="0" borderId="1" xfId="0" applyNumberFormat="1" applyBorder="1"/>
    <xf numFmtId="0" fontId="1" fillId="0" borderId="0" xfId="0" applyFont="1"/>
    <xf numFmtId="0" fontId="1" fillId="0" borderId="1" xfId="0" applyFont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right"/>
    </xf>
    <xf numFmtId="1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164" fontId="6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1</xdr:row>
          <xdr:rowOff>9525</xdr:rowOff>
        </xdr:from>
        <xdr:to>
          <xdr:col>14</xdr:col>
          <xdr:colOff>257175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Expected Payment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4</xdr:row>
          <xdr:rowOff>171450</xdr:rowOff>
        </xdr:from>
        <xdr:to>
          <xdr:col>14</xdr:col>
          <xdr:colOff>257175</xdr:colOff>
          <xdr:row>6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</xdr:row>
          <xdr:rowOff>9525</xdr:rowOff>
        </xdr:from>
        <xdr:to>
          <xdr:col>9</xdr:col>
          <xdr:colOff>19050</xdr:colOff>
          <xdr:row>3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4A59BD-A501-47D7-9708-0A51FE0E6765}" name="Table1" displayName="Table1" ref="A1:E101" totalsRowShown="0" headerRowBorderDxfId="7" tableBorderDxfId="6" totalsRowBorderDxfId="5">
  <autoFilter ref="A1:E101" xr:uid="{F54A59BD-A501-47D7-9708-0A51FE0E6765}"/>
  <tableColumns count="5">
    <tableColumn id="1" xr3:uid="{6F7766DF-BFC9-4A79-B899-477318A08385}" name="Client Name" dataDxfId="4"/>
    <tableColumn id="2" xr3:uid="{F5A1AA0A-17B9-45FA-9080-BB9CC25C087E}" name="Plan #" dataDxfId="3"/>
    <tableColumn id="3" xr3:uid="{A260B89A-590F-45CC-84E5-F43AEFA3B66E}" name="Current Age" dataDxfId="2"/>
    <tableColumn id="4" xr3:uid="{DF3D61BE-E770-4977-B33E-B4C28882E2E6}" name="Age Payments Begin" dataDxfId="1"/>
    <tableColumn id="5" xr3:uid="{6796E181-EC25-4E36-9660-9E07DF1357FC}" name="Years of Pay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CBCE0-CD76-445C-9C02-6E3E4F47AAF8}">
  <sheetPr codeName="Sheet1"/>
  <dimension ref="C2:N75"/>
  <sheetViews>
    <sheetView showGridLines="0" topLeftCell="B1" zoomScale="85" zoomScaleNormal="85" workbookViewId="0">
      <selection activeCell="C16" sqref="C16"/>
    </sheetView>
  </sheetViews>
  <sheetFormatPr defaultRowHeight="15" x14ac:dyDescent="0.25"/>
  <cols>
    <col min="3" max="3" width="30.5703125" bestFit="1" customWidth="1"/>
    <col min="4" max="4" width="9.7109375" bestFit="1" customWidth="1"/>
    <col min="5" max="5" width="5" bestFit="1" customWidth="1"/>
    <col min="6" max="6" width="25.28515625" bestFit="1" customWidth="1"/>
    <col min="8" max="8" width="5" bestFit="1" customWidth="1"/>
    <col min="9" max="9" width="25.28515625" bestFit="1" customWidth="1"/>
    <col min="11" max="11" width="26" bestFit="1" customWidth="1"/>
    <col min="13" max="13" width="0" hidden="1" customWidth="1"/>
    <col min="14" max="14" width="25.28515625" hidden="1" customWidth="1"/>
  </cols>
  <sheetData>
    <row r="2" spans="3:14" ht="32.25" x14ac:dyDescent="0.5">
      <c r="E2" s="17" t="s">
        <v>19</v>
      </c>
    </row>
    <row r="4" spans="3:14" ht="26.25" x14ac:dyDescent="0.4">
      <c r="C4" s="18" t="s">
        <v>22</v>
      </c>
      <c r="D4" s="7"/>
      <c r="E4" s="19" t="str" cm="1">
        <f t="array" ref="E4:E40">Years1</f>
        <v>Year</v>
      </c>
      <c r="F4" s="20" t="s">
        <v>18</v>
      </c>
      <c r="G4" s="21"/>
      <c r="H4" s="19" t="s">
        <v>0</v>
      </c>
      <c r="I4" s="20" t="s">
        <v>18</v>
      </c>
      <c r="K4" s="18" t="s">
        <v>23</v>
      </c>
      <c r="M4" s="25" t="s">
        <v>0</v>
      </c>
      <c r="N4" s="25" t="s">
        <v>18</v>
      </c>
    </row>
    <row r="5" spans="3:14" x14ac:dyDescent="0.25">
      <c r="D5" s="7"/>
      <c r="E5" s="12">
        <v>40</v>
      </c>
      <c r="F5" s="14" t="str" cm="1">
        <f t="array" ref="F5:F40">_xlfn.XLOOKUP($C$7,Plan_Type,Before75)</f>
        <v>-</v>
      </c>
      <c r="H5" s="12" cm="1">
        <f t="array" ref="H5:H39">Years2</f>
        <v>76</v>
      </c>
      <c r="I5" s="9" cm="1">
        <f t="array" ref="I5:I39">_xlfn.XLOOKUP($C$7,Plan_Type,After75)</f>
        <v>7200</v>
      </c>
      <c r="M5" s="13" cm="1">
        <f t="array" ref="M5:M75">_xlfn.SEQUENCE(71,1,40,1)</f>
        <v>40</v>
      </c>
      <c r="N5" s="16" t="str" cm="1">
        <f t="array" ref="N5:N75">_xlfn.XLOOKUP(C7,Plan_Type,FullTable)</f>
        <v>-</v>
      </c>
    </row>
    <row r="6" spans="3:14" x14ac:dyDescent="0.25">
      <c r="C6" s="23" t="s">
        <v>27</v>
      </c>
      <c r="D6" s="7"/>
      <c r="E6" s="12">
        <v>41</v>
      </c>
      <c r="F6" s="14" t="str">
        <v>-</v>
      </c>
      <c r="H6" s="12">
        <v>77</v>
      </c>
      <c r="I6" s="9">
        <v>7200</v>
      </c>
      <c r="K6" s="22" t="s">
        <v>133</v>
      </c>
      <c r="M6" s="13">
        <v>41</v>
      </c>
      <c r="N6" s="16" t="str">
        <v>-</v>
      </c>
    </row>
    <row r="7" spans="3:14" x14ac:dyDescent="0.25">
      <c r="C7" s="13">
        <v>3</v>
      </c>
      <c r="E7" s="12">
        <v>42</v>
      </c>
      <c r="F7" s="14" t="str">
        <v>-</v>
      </c>
      <c r="H7" s="12">
        <v>78</v>
      </c>
      <c r="I7" s="9">
        <v>7200</v>
      </c>
      <c r="K7" s="16">
        <f>SUM(F5:F40,I5:I39)</f>
        <v>295200</v>
      </c>
      <c r="M7" s="13">
        <v>42</v>
      </c>
      <c r="N7" s="16" t="str">
        <v>-</v>
      </c>
    </row>
    <row r="8" spans="3:14" x14ac:dyDescent="0.25">
      <c r="E8" s="12">
        <v>43</v>
      </c>
      <c r="F8" s="14" t="str">
        <v>-</v>
      </c>
      <c r="H8" s="12">
        <v>79</v>
      </c>
      <c r="I8" s="9">
        <v>7200</v>
      </c>
      <c r="M8" s="13">
        <v>43</v>
      </c>
      <c r="N8" s="16" t="str">
        <v>-</v>
      </c>
    </row>
    <row r="9" spans="3:14" x14ac:dyDescent="0.25">
      <c r="C9" s="23" t="s">
        <v>26</v>
      </c>
      <c r="E9" s="12">
        <v>44</v>
      </c>
      <c r="F9" s="14" t="str">
        <v>-</v>
      </c>
      <c r="H9" s="12">
        <v>80</v>
      </c>
      <c r="I9" s="9">
        <v>7200</v>
      </c>
      <c r="M9" s="13">
        <v>44</v>
      </c>
      <c r="N9" s="16" t="str">
        <v>-</v>
      </c>
    </row>
    <row r="10" spans="3:14" x14ac:dyDescent="0.25">
      <c r="C10" s="13">
        <v>61</v>
      </c>
      <c r="E10" s="12">
        <v>45</v>
      </c>
      <c r="F10" s="14" t="str">
        <v>-</v>
      </c>
      <c r="H10" s="12">
        <v>81</v>
      </c>
      <c r="I10" s="9">
        <v>7200</v>
      </c>
      <c r="K10" s="22" t="s">
        <v>16</v>
      </c>
      <c r="M10" s="13">
        <v>45</v>
      </c>
      <c r="N10" s="16" t="str">
        <v>-</v>
      </c>
    </row>
    <row r="11" spans="3:14" x14ac:dyDescent="0.25">
      <c r="E11" s="12">
        <v>46</v>
      </c>
      <c r="F11" s="14" t="str">
        <v>-</v>
      </c>
      <c r="H11" s="12">
        <v>82</v>
      </c>
      <c r="I11" s="9">
        <v>7200</v>
      </c>
      <c r="K11" s="15" t="str">
        <f>CONCATENATE((COUNTIF(F5:F40,"&gt;0")+COUNTIF(_xlfn.ANCHORARRAY(I5),"&gt;0")), " Years")</f>
        <v>41 Years</v>
      </c>
      <c r="M11" s="13">
        <v>46</v>
      </c>
      <c r="N11" s="16" t="str">
        <v>-</v>
      </c>
    </row>
    <row r="12" spans="3:14" x14ac:dyDescent="0.25">
      <c r="C12" s="23" t="s">
        <v>24</v>
      </c>
      <c r="E12" s="12">
        <v>47</v>
      </c>
      <c r="F12" s="14" t="str">
        <v>-</v>
      </c>
      <c r="H12" s="12">
        <v>83</v>
      </c>
      <c r="I12" s="9">
        <v>7200</v>
      </c>
      <c r="M12" s="13">
        <v>47</v>
      </c>
      <c r="N12" s="16" t="str">
        <v>-</v>
      </c>
    </row>
    <row r="13" spans="3:14" x14ac:dyDescent="0.25">
      <c r="C13" s="15">
        <v>70</v>
      </c>
      <c r="E13" s="12">
        <v>48</v>
      </c>
      <c r="F13" s="14" t="str">
        <v>-</v>
      </c>
      <c r="H13" s="12">
        <v>84</v>
      </c>
      <c r="I13" s="9">
        <v>7200</v>
      </c>
      <c r="K13" s="22" t="s">
        <v>17</v>
      </c>
      <c r="M13" s="13">
        <v>48</v>
      </c>
      <c r="N13" s="16" t="str">
        <v>-</v>
      </c>
    </row>
    <row r="14" spans="3:14" x14ac:dyDescent="0.25">
      <c r="E14" s="12">
        <v>49</v>
      </c>
      <c r="F14" s="14" t="str">
        <v>-</v>
      </c>
      <c r="H14" s="12">
        <v>85</v>
      </c>
      <c r="I14" s="9">
        <v>7200</v>
      </c>
      <c r="K14" s="13" cm="1">
        <f t="array" ref="K14">_xlfn.IFS(OR($C$7=1,$C$7=5,$C$7=6,$C$7=7),Formulas!$M$37,$C$7=2,Formulas!$M$13,$C$7=3,Formulas!$M$5,$C$7=4,Formulas!$M$22)</f>
        <v>110</v>
      </c>
      <c r="M14" s="13">
        <v>49</v>
      </c>
      <c r="N14" s="16" t="str">
        <v>-</v>
      </c>
    </row>
    <row r="15" spans="3:14" x14ac:dyDescent="0.25">
      <c r="C15" s="23" t="s">
        <v>25</v>
      </c>
      <c r="E15" s="12">
        <v>50</v>
      </c>
      <c r="F15" s="14" t="str">
        <v>-</v>
      </c>
      <c r="H15" s="12">
        <v>86</v>
      </c>
      <c r="I15" s="9">
        <v>7200</v>
      </c>
      <c r="M15" s="13">
        <v>50</v>
      </c>
      <c r="N15" s="16" t="str">
        <v>-</v>
      </c>
    </row>
    <row r="16" spans="3:14" x14ac:dyDescent="0.25">
      <c r="C16" s="15"/>
      <c r="E16" s="12">
        <v>51</v>
      </c>
      <c r="F16" s="14" t="str">
        <v>-</v>
      </c>
      <c r="H16" s="12">
        <v>87</v>
      </c>
      <c r="I16" s="9">
        <v>7200</v>
      </c>
      <c r="M16" s="13">
        <v>51</v>
      </c>
      <c r="N16" s="16" t="str">
        <v>-</v>
      </c>
    </row>
    <row r="17" spans="5:14" x14ac:dyDescent="0.25">
      <c r="E17" s="12">
        <v>52</v>
      </c>
      <c r="F17" s="14" t="str">
        <v>-</v>
      </c>
      <c r="H17" s="12">
        <v>88</v>
      </c>
      <c r="I17" s="9">
        <v>7200</v>
      </c>
      <c r="M17" s="13">
        <v>52</v>
      </c>
      <c r="N17" s="16" t="str">
        <v>-</v>
      </c>
    </row>
    <row r="18" spans="5:14" x14ac:dyDescent="0.25">
      <c r="E18" s="12">
        <v>53</v>
      </c>
      <c r="F18" s="14" t="str">
        <v>-</v>
      </c>
      <c r="H18" s="12">
        <v>89</v>
      </c>
      <c r="I18" s="9">
        <v>7200</v>
      </c>
      <c r="M18" s="13">
        <v>53</v>
      </c>
      <c r="N18" s="16" t="str">
        <v>-</v>
      </c>
    </row>
    <row r="19" spans="5:14" x14ac:dyDescent="0.25">
      <c r="E19" s="12">
        <v>54</v>
      </c>
      <c r="F19" s="14" t="str">
        <v>-</v>
      </c>
      <c r="H19" s="12">
        <v>90</v>
      </c>
      <c r="I19" s="9">
        <v>7200</v>
      </c>
      <c r="M19" s="13">
        <v>54</v>
      </c>
      <c r="N19" s="16" t="str">
        <v>-</v>
      </c>
    </row>
    <row r="20" spans="5:14" x14ac:dyDescent="0.25">
      <c r="E20" s="12">
        <v>55</v>
      </c>
      <c r="F20" s="14" t="str">
        <v>-</v>
      </c>
      <c r="H20" s="12">
        <v>91</v>
      </c>
      <c r="I20" s="9">
        <v>7200</v>
      </c>
      <c r="M20" s="13">
        <v>55</v>
      </c>
      <c r="N20" s="16" t="str">
        <v>-</v>
      </c>
    </row>
    <row r="21" spans="5:14" x14ac:dyDescent="0.25">
      <c r="E21" s="12">
        <v>56</v>
      </c>
      <c r="F21" s="14" t="str">
        <v>-</v>
      </c>
      <c r="H21" s="12">
        <v>92</v>
      </c>
      <c r="I21" s="9">
        <v>7200</v>
      </c>
      <c r="M21" s="13">
        <v>56</v>
      </c>
      <c r="N21" s="16" t="str">
        <v>-</v>
      </c>
    </row>
    <row r="22" spans="5:14" x14ac:dyDescent="0.25">
      <c r="E22" s="12">
        <v>57</v>
      </c>
      <c r="F22" s="14" t="str">
        <v>-</v>
      </c>
      <c r="H22" s="12">
        <v>93</v>
      </c>
      <c r="I22" s="9">
        <v>7200</v>
      </c>
      <c r="M22" s="13">
        <v>57</v>
      </c>
      <c r="N22" s="16" t="str">
        <v>-</v>
      </c>
    </row>
    <row r="23" spans="5:14" x14ac:dyDescent="0.25">
      <c r="E23" s="12">
        <v>58</v>
      </c>
      <c r="F23" s="14" t="str">
        <v>-</v>
      </c>
      <c r="H23" s="12">
        <v>94</v>
      </c>
      <c r="I23" s="9">
        <v>7200</v>
      </c>
      <c r="M23" s="13">
        <v>58</v>
      </c>
      <c r="N23" s="16" t="str">
        <v>-</v>
      </c>
    </row>
    <row r="24" spans="5:14" x14ac:dyDescent="0.25">
      <c r="E24" s="12">
        <v>59</v>
      </c>
      <c r="F24" s="14" t="str">
        <v>-</v>
      </c>
      <c r="H24" s="12">
        <v>95</v>
      </c>
      <c r="I24" s="9">
        <v>7200</v>
      </c>
      <c r="M24" s="13">
        <v>59</v>
      </c>
      <c r="N24" s="16" t="str">
        <v>-</v>
      </c>
    </row>
    <row r="25" spans="5:14" x14ac:dyDescent="0.25">
      <c r="E25" s="12">
        <v>60</v>
      </c>
      <c r="F25" s="14" t="str">
        <v>-</v>
      </c>
      <c r="H25" s="12">
        <v>96</v>
      </c>
      <c r="I25" s="9">
        <v>7200</v>
      </c>
      <c r="M25" s="13">
        <v>60</v>
      </c>
      <c r="N25" s="16" t="str">
        <v>-</v>
      </c>
    </row>
    <row r="26" spans="5:14" x14ac:dyDescent="0.25">
      <c r="E26" s="12">
        <v>61</v>
      </c>
      <c r="F26" s="14" t="str">
        <v>-</v>
      </c>
      <c r="H26" s="12">
        <v>97</v>
      </c>
      <c r="I26" s="9">
        <v>7200</v>
      </c>
      <c r="M26" s="13">
        <v>61</v>
      </c>
      <c r="N26" s="16" t="str">
        <v>-</v>
      </c>
    </row>
    <row r="27" spans="5:14" x14ac:dyDescent="0.25">
      <c r="E27" s="12">
        <v>62</v>
      </c>
      <c r="F27" s="14" t="str">
        <v>-</v>
      </c>
      <c r="H27" s="12">
        <v>98</v>
      </c>
      <c r="I27" s="9">
        <v>7200</v>
      </c>
      <c r="M27" s="13">
        <v>62</v>
      </c>
      <c r="N27" s="16" t="str">
        <v>-</v>
      </c>
    </row>
    <row r="28" spans="5:14" x14ac:dyDescent="0.25">
      <c r="E28" s="12">
        <v>63</v>
      </c>
      <c r="F28" s="14" t="str">
        <v>-</v>
      </c>
      <c r="H28" s="12">
        <v>99</v>
      </c>
      <c r="I28" s="9">
        <v>7200</v>
      </c>
      <c r="M28" s="13">
        <v>63</v>
      </c>
      <c r="N28" s="16" t="str">
        <v>-</v>
      </c>
    </row>
    <row r="29" spans="5:14" x14ac:dyDescent="0.25">
      <c r="E29" s="12">
        <v>64</v>
      </c>
      <c r="F29" s="14" t="str">
        <v>-</v>
      </c>
      <c r="H29" s="12">
        <v>100</v>
      </c>
      <c r="I29" s="9">
        <v>7200</v>
      </c>
      <c r="M29" s="13">
        <v>64</v>
      </c>
      <c r="N29" s="16" t="str">
        <v>-</v>
      </c>
    </row>
    <row r="30" spans="5:14" x14ac:dyDescent="0.25">
      <c r="E30" s="12">
        <v>65</v>
      </c>
      <c r="F30" s="14" t="str">
        <v>-</v>
      </c>
      <c r="H30" s="12">
        <v>101</v>
      </c>
      <c r="I30" s="9">
        <v>7200</v>
      </c>
      <c r="M30" s="13">
        <v>65</v>
      </c>
      <c r="N30" s="16" t="str">
        <v>-</v>
      </c>
    </row>
    <row r="31" spans="5:14" x14ac:dyDescent="0.25">
      <c r="E31" s="12">
        <v>66</v>
      </c>
      <c r="F31" s="14" t="str">
        <v>-</v>
      </c>
      <c r="H31" s="12">
        <v>102</v>
      </c>
      <c r="I31" s="9">
        <v>7200</v>
      </c>
      <c r="M31" s="13">
        <v>66</v>
      </c>
      <c r="N31" s="16" t="str">
        <v>-</v>
      </c>
    </row>
    <row r="32" spans="5:14" x14ac:dyDescent="0.25">
      <c r="E32" s="12">
        <v>67</v>
      </c>
      <c r="F32" s="14" t="str">
        <v>-</v>
      </c>
      <c r="H32" s="12">
        <v>103</v>
      </c>
      <c r="I32" s="9">
        <v>7200</v>
      </c>
      <c r="M32" s="13">
        <v>67</v>
      </c>
      <c r="N32" s="16" t="str">
        <v>-</v>
      </c>
    </row>
    <row r="33" spans="5:14" x14ac:dyDescent="0.25">
      <c r="E33" s="12">
        <v>68</v>
      </c>
      <c r="F33" s="14" t="str">
        <v>-</v>
      </c>
      <c r="H33" s="12">
        <v>104</v>
      </c>
      <c r="I33" s="9">
        <v>7200</v>
      </c>
      <c r="M33" s="13">
        <v>68</v>
      </c>
      <c r="N33" s="16" t="str">
        <v>-</v>
      </c>
    </row>
    <row r="34" spans="5:14" x14ac:dyDescent="0.25">
      <c r="E34" s="12">
        <v>69</v>
      </c>
      <c r="F34" s="14" t="str">
        <v>-</v>
      </c>
      <c r="H34" s="12">
        <v>105</v>
      </c>
      <c r="I34" s="9">
        <v>7200</v>
      </c>
      <c r="M34" s="13">
        <v>69</v>
      </c>
      <c r="N34" s="16" t="str">
        <v>-</v>
      </c>
    </row>
    <row r="35" spans="5:14" x14ac:dyDescent="0.25">
      <c r="E35" s="12">
        <v>70</v>
      </c>
      <c r="F35" s="14">
        <v>7200</v>
      </c>
      <c r="H35" s="12">
        <v>106</v>
      </c>
      <c r="I35" s="9">
        <v>7200</v>
      </c>
      <c r="M35" s="13">
        <v>70</v>
      </c>
      <c r="N35" s="16">
        <v>7200</v>
      </c>
    </row>
    <row r="36" spans="5:14" x14ac:dyDescent="0.25">
      <c r="E36" s="12">
        <v>71</v>
      </c>
      <c r="F36" s="14">
        <v>7200</v>
      </c>
      <c r="H36" s="12">
        <v>107</v>
      </c>
      <c r="I36" s="9">
        <v>7200</v>
      </c>
      <c r="M36" s="13">
        <v>71</v>
      </c>
      <c r="N36" s="16">
        <v>7200</v>
      </c>
    </row>
    <row r="37" spans="5:14" x14ac:dyDescent="0.25">
      <c r="E37" s="12">
        <v>72</v>
      </c>
      <c r="F37" s="14">
        <v>7200</v>
      </c>
      <c r="H37" s="12">
        <v>108</v>
      </c>
      <c r="I37" s="9">
        <v>7200</v>
      </c>
      <c r="M37" s="13">
        <v>72</v>
      </c>
      <c r="N37" s="16">
        <v>7200</v>
      </c>
    </row>
    <row r="38" spans="5:14" x14ac:dyDescent="0.25">
      <c r="E38" s="12">
        <v>73</v>
      </c>
      <c r="F38" s="14">
        <v>7200</v>
      </c>
      <c r="H38" s="12">
        <v>109</v>
      </c>
      <c r="I38" s="9">
        <v>7200</v>
      </c>
      <c r="M38" s="13">
        <v>73</v>
      </c>
      <c r="N38" s="16">
        <v>7200</v>
      </c>
    </row>
    <row r="39" spans="5:14" x14ac:dyDescent="0.25">
      <c r="E39" s="12">
        <v>74</v>
      </c>
      <c r="F39" s="14">
        <v>7200</v>
      </c>
      <c r="H39" s="12">
        <v>110</v>
      </c>
      <c r="I39" s="9">
        <v>7200</v>
      </c>
      <c r="M39" s="13">
        <v>74</v>
      </c>
      <c r="N39" s="16">
        <v>7200</v>
      </c>
    </row>
    <row r="40" spans="5:14" x14ac:dyDescent="0.25">
      <c r="E40" s="12">
        <v>75</v>
      </c>
      <c r="F40" s="14">
        <v>7200</v>
      </c>
      <c r="M40" s="13">
        <v>75</v>
      </c>
      <c r="N40" s="16">
        <v>7200</v>
      </c>
    </row>
    <row r="41" spans="5:14" x14ac:dyDescent="0.25">
      <c r="M41" s="13">
        <v>76</v>
      </c>
      <c r="N41" s="16">
        <v>7200</v>
      </c>
    </row>
    <row r="42" spans="5:14" x14ac:dyDescent="0.25">
      <c r="M42" s="13">
        <v>77</v>
      </c>
      <c r="N42" s="16">
        <v>7200</v>
      </c>
    </row>
    <row r="43" spans="5:14" x14ac:dyDescent="0.25">
      <c r="M43" s="13">
        <v>78</v>
      </c>
      <c r="N43" s="16">
        <v>7200</v>
      </c>
    </row>
    <row r="44" spans="5:14" x14ac:dyDescent="0.25">
      <c r="M44" s="13">
        <v>79</v>
      </c>
      <c r="N44" s="16">
        <v>7200</v>
      </c>
    </row>
    <row r="45" spans="5:14" x14ac:dyDescent="0.25">
      <c r="M45" s="13">
        <v>80</v>
      </c>
      <c r="N45" s="16">
        <v>7200</v>
      </c>
    </row>
    <row r="46" spans="5:14" x14ac:dyDescent="0.25">
      <c r="M46" s="13">
        <v>81</v>
      </c>
      <c r="N46" s="16">
        <v>7200</v>
      </c>
    </row>
    <row r="47" spans="5:14" x14ac:dyDescent="0.25">
      <c r="M47" s="13">
        <v>82</v>
      </c>
      <c r="N47" s="16">
        <v>7200</v>
      </c>
    </row>
    <row r="48" spans="5:14" x14ac:dyDescent="0.25">
      <c r="M48" s="13">
        <v>83</v>
      </c>
      <c r="N48" s="16">
        <v>7200</v>
      </c>
    </row>
    <row r="49" spans="13:14" x14ac:dyDescent="0.25">
      <c r="M49" s="13">
        <v>84</v>
      </c>
      <c r="N49" s="16">
        <v>7200</v>
      </c>
    </row>
    <row r="50" spans="13:14" x14ac:dyDescent="0.25">
      <c r="M50" s="13">
        <v>85</v>
      </c>
      <c r="N50" s="16">
        <v>7200</v>
      </c>
    </row>
    <row r="51" spans="13:14" x14ac:dyDescent="0.25">
      <c r="M51" s="13">
        <v>86</v>
      </c>
      <c r="N51" s="16">
        <v>7200</v>
      </c>
    </row>
    <row r="52" spans="13:14" x14ac:dyDescent="0.25">
      <c r="M52" s="13">
        <v>87</v>
      </c>
      <c r="N52" s="16">
        <v>7200</v>
      </c>
    </row>
    <row r="53" spans="13:14" x14ac:dyDescent="0.25">
      <c r="M53" s="13">
        <v>88</v>
      </c>
      <c r="N53" s="16">
        <v>7200</v>
      </c>
    </row>
    <row r="54" spans="13:14" x14ac:dyDescent="0.25">
      <c r="M54" s="13">
        <v>89</v>
      </c>
      <c r="N54" s="16">
        <v>7200</v>
      </c>
    </row>
    <row r="55" spans="13:14" x14ac:dyDescent="0.25">
      <c r="M55" s="13">
        <v>90</v>
      </c>
      <c r="N55" s="16">
        <v>7200</v>
      </c>
    </row>
    <row r="56" spans="13:14" x14ac:dyDescent="0.25">
      <c r="M56" s="13">
        <v>91</v>
      </c>
      <c r="N56" s="16">
        <v>7200</v>
      </c>
    </row>
    <row r="57" spans="13:14" x14ac:dyDescent="0.25">
      <c r="M57" s="13">
        <v>92</v>
      </c>
      <c r="N57" s="16">
        <v>7200</v>
      </c>
    </row>
    <row r="58" spans="13:14" x14ac:dyDescent="0.25">
      <c r="M58" s="13">
        <v>93</v>
      </c>
      <c r="N58" s="16">
        <v>7200</v>
      </c>
    </row>
    <row r="59" spans="13:14" x14ac:dyDescent="0.25">
      <c r="M59" s="13">
        <v>94</v>
      </c>
      <c r="N59" s="16">
        <v>7200</v>
      </c>
    </row>
    <row r="60" spans="13:14" x14ac:dyDescent="0.25">
      <c r="M60" s="13">
        <v>95</v>
      </c>
      <c r="N60" s="16">
        <v>7200</v>
      </c>
    </row>
    <row r="61" spans="13:14" x14ac:dyDescent="0.25">
      <c r="M61" s="13">
        <v>96</v>
      </c>
      <c r="N61" s="16">
        <v>7200</v>
      </c>
    </row>
    <row r="62" spans="13:14" x14ac:dyDescent="0.25">
      <c r="M62" s="13">
        <v>97</v>
      </c>
      <c r="N62" s="16">
        <v>7200</v>
      </c>
    </row>
    <row r="63" spans="13:14" x14ac:dyDescent="0.25">
      <c r="M63" s="13">
        <v>98</v>
      </c>
      <c r="N63" s="16">
        <v>7200</v>
      </c>
    </row>
    <row r="64" spans="13:14" x14ac:dyDescent="0.25">
      <c r="M64" s="13">
        <v>99</v>
      </c>
      <c r="N64" s="16">
        <v>7200</v>
      </c>
    </row>
    <row r="65" spans="13:14" x14ac:dyDescent="0.25">
      <c r="M65" s="13">
        <v>100</v>
      </c>
      <c r="N65" s="16">
        <v>7200</v>
      </c>
    </row>
    <row r="66" spans="13:14" x14ac:dyDescent="0.25">
      <c r="M66" s="13">
        <v>101</v>
      </c>
      <c r="N66" s="16">
        <v>7200</v>
      </c>
    </row>
    <row r="67" spans="13:14" x14ac:dyDescent="0.25">
      <c r="M67" s="13">
        <v>102</v>
      </c>
      <c r="N67" s="16">
        <v>7200</v>
      </c>
    </row>
    <row r="68" spans="13:14" x14ac:dyDescent="0.25">
      <c r="M68" s="13">
        <v>103</v>
      </c>
      <c r="N68" s="16">
        <v>7200</v>
      </c>
    </row>
    <row r="69" spans="13:14" x14ac:dyDescent="0.25">
      <c r="M69" s="13">
        <v>104</v>
      </c>
      <c r="N69" s="16">
        <v>7200</v>
      </c>
    </row>
    <row r="70" spans="13:14" x14ac:dyDescent="0.25">
      <c r="M70" s="13">
        <v>105</v>
      </c>
      <c r="N70" s="16">
        <v>7200</v>
      </c>
    </row>
    <row r="71" spans="13:14" x14ac:dyDescent="0.25">
      <c r="M71" s="13">
        <v>106</v>
      </c>
      <c r="N71" s="16">
        <v>7200</v>
      </c>
    </row>
    <row r="72" spans="13:14" x14ac:dyDescent="0.25">
      <c r="M72" s="13">
        <v>107</v>
      </c>
      <c r="N72" s="16">
        <v>7200</v>
      </c>
    </row>
    <row r="73" spans="13:14" x14ac:dyDescent="0.25">
      <c r="M73" s="13">
        <v>108</v>
      </c>
      <c r="N73" s="16">
        <v>7200</v>
      </c>
    </row>
    <row r="74" spans="13:14" x14ac:dyDescent="0.25">
      <c r="M74" s="13">
        <v>109</v>
      </c>
      <c r="N74" s="16">
        <v>7200</v>
      </c>
    </row>
    <row r="75" spans="13:14" x14ac:dyDescent="0.25">
      <c r="M75" s="13">
        <v>110</v>
      </c>
      <c r="N75" s="16">
        <v>7200</v>
      </c>
    </row>
  </sheetData>
  <dataValidations count="1">
    <dataValidation type="list" allowBlank="1" showInputMessage="1" showErrorMessage="1" sqref="C10" xr:uid="{9E25B917-CAC9-4319-9697-586D9E2F4089}">
      <formula1>Year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12AAD7D-7BC6-44E0-AA8E-92E7E5F19C46}">
          <x14:formula1>
            <xm:f>Formulas!$D$3:$J$3</xm:f>
          </x14:formula1>
          <xm:sqref>C7</xm:sqref>
        </x14:dataValidation>
        <x14:dataValidation type="whole" allowBlank="1" showInputMessage="1" showErrorMessage="1" errorTitle="Invalid Date" xr:uid="{02C1AE0B-0D5E-46D4-897A-A9003502EB35}">
          <x14:formula1>
            <xm:f>1</xm:f>
          </x14:formula1>
          <x14:formula2>
            <xm:f>Formulas!$M$5-($C$10+(YEAR($C$13)-YEAR(TODAY())))</xm:f>
          </x14:formula2>
          <xm:sqref>C16</xm:sqref>
        </x14:dataValidation>
        <x14:dataValidation type="date" allowBlank="1" showInputMessage="1" showErrorMessage="1" xr:uid="{0EDC054A-BD06-448E-AD89-BB0F0E183282}">
          <x14:formula1>
            <xm:f>$C$10</xm:f>
          </x14:formula1>
          <x14:formula2>
            <xm:f>Formulas!$M$5</xm:f>
          </x14:formula2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2F2E7-C688-4779-92D1-67286B1243EC}">
  <sheetPr codeName="Sheet4"/>
  <dimension ref="A1:B101"/>
  <sheetViews>
    <sheetView tabSelected="1" topLeftCell="A76" workbookViewId="0">
      <selection activeCell="B73" sqref="B73"/>
    </sheetView>
  </sheetViews>
  <sheetFormatPr defaultRowHeight="15" x14ac:dyDescent="0.25"/>
  <cols>
    <col min="1" max="1" width="14.28515625" style="1" bestFit="1" customWidth="1"/>
    <col min="2" max="2" width="22.28515625" style="16" bestFit="1" customWidth="1"/>
  </cols>
  <sheetData>
    <row r="1" spans="1:2" x14ac:dyDescent="0.25">
      <c r="A1" s="26" t="s">
        <v>29</v>
      </c>
      <c r="B1" s="28" t="s">
        <v>132</v>
      </c>
    </row>
    <row r="2" spans="1:2" x14ac:dyDescent="0.25">
      <c r="A2" s="27" t="s">
        <v>32</v>
      </c>
      <c r="B2" s="14">
        <v>440000</v>
      </c>
    </row>
    <row r="3" spans="1:2" x14ac:dyDescent="0.25">
      <c r="A3" s="27" t="s">
        <v>33</v>
      </c>
      <c r="B3" s="14">
        <v>3280000</v>
      </c>
    </row>
    <row r="4" spans="1:2" x14ac:dyDescent="0.25">
      <c r="A4" s="27" t="s">
        <v>34</v>
      </c>
      <c r="B4" s="14">
        <v>439200</v>
      </c>
    </row>
    <row r="5" spans="1:2" x14ac:dyDescent="0.25">
      <c r="A5" s="27" t="s">
        <v>35</v>
      </c>
      <c r="B5" s="14">
        <v>285000</v>
      </c>
    </row>
    <row r="6" spans="1:2" x14ac:dyDescent="0.25">
      <c r="A6" s="27" t="s">
        <v>36</v>
      </c>
      <c r="B6" s="14">
        <v>1185000</v>
      </c>
    </row>
    <row r="7" spans="1:2" x14ac:dyDescent="0.25">
      <c r="A7" s="27" t="s">
        <v>37</v>
      </c>
      <c r="B7" s="14">
        <v>1185000</v>
      </c>
    </row>
    <row r="8" spans="1:2" x14ac:dyDescent="0.25">
      <c r="A8" s="27" t="s">
        <v>38</v>
      </c>
      <c r="B8" s="14">
        <v>3280000</v>
      </c>
    </row>
    <row r="9" spans="1:2" x14ac:dyDescent="0.25">
      <c r="A9" s="27" t="s">
        <v>39</v>
      </c>
      <c r="B9" s="14">
        <v>367200</v>
      </c>
    </row>
    <row r="10" spans="1:2" x14ac:dyDescent="0.25">
      <c r="A10" s="27" t="s">
        <v>40</v>
      </c>
      <c r="B10" s="14">
        <v>3280000</v>
      </c>
    </row>
    <row r="11" spans="1:2" x14ac:dyDescent="0.25">
      <c r="A11" s="27" t="s">
        <v>41</v>
      </c>
      <c r="B11" s="14">
        <v>459000</v>
      </c>
    </row>
    <row r="12" spans="1:2" x14ac:dyDescent="0.25">
      <c r="A12" s="27" t="s">
        <v>42</v>
      </c>
      <c r="B12" s="14">
        <v>240000</v>
      </c>
    </row>
    <row r="13" spans="1:2" x14ac:dyDescent="0.25">
      <c r="A13" s="27" t="s">
        <v>43</v>
      </c>
      <c r="B13" s="14">
        <v>90000</v>
      </c>
    </row>
    <row r="14" spans="1:2" x14ac:dyDescent="0.25">
      <c r="A14" s="27" t="s">
        <v>44</v>
      </c>
      <c r="B14" s="14">
        <v>90000</v>
      </c>
    </row>
    <row r="15" spans="1:2" x14ac:dyDescent="0.25">
      <c r="A15" s="27" t="s">
        <v>45</v>
      </c>
      <c r="B15" s="14">
        <v>300000</v>
      </c>
    </row>
    <row r="16" spans="1:2" x14ac:dyDescent="0.25">
      <c r="A16" s="27" t="s">
        <v>46</v>
      </c>
      <c r="B16" s="14">
        <v>100000</v>
      </c>
    </row>
    <row r="17" spans="1:2" x14ac:dyDescent="0.25">
      <c r="A17" s="27" t="s">
        <v>47</v>
      </c>
      <c r="B17" s="14">
        <v>180000</v>
      </c>
    </row>
    <row r="18" spans="1:2" x14ac:dyDescent="0.25">
      <c r="A18" s="27" t="s">
        <v>48</v>
      </c>
      <c r="B18" s="14">
        <v>459000</v>
      </c>
    </row>
    <row r="19" spans="1:2" x14ac:dyDescent="0.25">
      <c r="A19" s="27" t="s">
        <v>49</v>
      </c>
      <c r="B19" s="14">
        <v>1185000</v>
      </c>
    </row>
    <row r="20" spans="1:2" x14ac:dyDescent="0.25">
      <c r="A20" s="27" t="s">
        <v>50</v>
      </c>
      <c r="B20" s="14">
        <v>1185000</v>
      </c>
    </row>
    <row r="21" spans="1:2" x14ac:dyDescent="0.25">
      <c r="A21" s="27" t="s">
        <v>51</v>
      </c>
      <c r="B21" s="14">
        <v>504000</v>
      </c>
    </row>
    <row r="22" spans="1:2" x14ac:dyDescent="0.25">
      <c r="A22" s="27" t="s">
        <v>52</v>
      </c>
      <c r="B22" s="14">
        <v>100000.00000000001</v>
      </c>
    </row>
    <row r="23" spans="1:2" x14ac:dyDescent="0.25">
      <c r="A23" s="27" t="s">
        <v>53</v>
      </c>
      <c r="B23" s="14">
        <v>3280000</v>
      </c>
    </row>
    <row r="24" spans="1:2" x14ac:dyDescent="0.25">
      <c r="A24" s="27" t="s">
        <v>54</v>
      </c>
      <c r="B24" s="14">
        <v>105000</v>
      </c>
    </row>
    <row r="25" spans="1:2" x14ac:dyDescent="0.25">
      <c r="A25" s="27" t="s">
        <v>55</v>
      </c>
      <c r="B25" s="14">
        <v>396000</v>
      </c>
    </row>
    <row r="26" spans="1:2" x14ac:dyDescent="0.25">
      <c r="A26" s="27" t="s">
        <v>56</v>
      </c>
      <c r="B26" s="14">
        <v>90000</v>
      </c>
    </row>
    <row r="27" spans="1:2" x14ac:dyDescent="0.25">
      <c r="A27" s="27" t="s">
        <v>57</v>
      </c>
      <c r="B27" s="14">
        <v>459000</v>
      </c>
    </row>
    <row r="28" spans="1:2" x14ac:dyDescent="0.25">
      <c r="A28" s="27" t="s">
        <v>58</v>
      </c>
      <c r="B28" s="14">
        <v>195000</v>
      </c>
    </row>
    <row r="29" spans="1:2" x14ac:dyDescent="0.25">
      <c r="A29" s="27" t="s">
        <v>59</v>
      </c>
      <c r="B29" s="14">
        <v>288000</v>
      </c>
    </row>
    <row r="30" spans="1:2" x14ac:dyDescent="0.25">
      <c r="A30" s="27" t="s">
        <v>60</v>
      </c>
      <c r="B30" s="14">
        <v>270000</v>
      </c>
    </row>
    <row r="31" spans="1:2" x14ac:dyDescent="0.25">
      <c r="A31" s="27" t="s">
        <v>61</v>
      </c>
      <c r="B31" s="14">
        <v>135000</v>
      </c>
    </row>
    <row r="32" spans="1:2" x14ac:dyDescent="0.25">
      <c r="A32" s="27" t="s">
        <v>62</v>
      </c>
      <c r="B32" s="14">
        <v>300000</v>
      </c>
    </row>
    <row r="33" spans="1:2" x14ac:dyDescent="0.25">
      <c r="A33" s="27" t="s">
        <v>63</v>
      </c>
      <c r="B33" s="14">
        <v>105000</v>
      </c>
    </row>
    <row r="34" spans="1:2" x14ac:dyDescent="0.25">
      <c r="A34" s="27" t="s">
        <v>64</v>
      </c>
      <c r="B34" s="14">
        <v>300000</v>
      </c>
    </row>
    <row r="35" spans="1:2" x14ac:dyDescent="0.25">
      <c r="A35" s="27" t="s">
        <v>65</v>
      </c>
      <c r="B35" s="14">
        <v>132000</v>
      </c>
    </row>
    <row r="36" spans="1:2" x14ac:dyDescent="0.25">
      <c r="A36" s="27" t="s">
        <v>66</v>
      </c>
      <c r="B36" s="14">
        <v>315000</v>
      </c>
    </row>
    <row r="37" spans="1:2" x14ac:dyDescent="0.25">
      <c r="A37" s="27" t="s">
        <v>67</v>
      </c>
      <c r="B37" s="14">
        <v>270000</v>
      </c>
    </row>
    <row r="38" spans="1:2" x14ac:dyDescent="0.25">
      <c r="A38" s="27" t="s">
        <v>68</v>
      </c>
      <c r="B38" s="14">
        <v>1185000</v>
      </c>
    </row>
    <row r="39" spans="1:2" x14ac:dyDescent="0.25">
      <c r="A39" s="27" t="s">
        <v>69</v>
      </c>
      <c r="B39" s="14">
        <v>1185000</v>
      </c>
    </row>
    <row r="40" spans="1:2" x14ac:dyDescent="0.25">
      <c r="A40" s="27" t="s">
        <v>70</v>
      </c>
      <c r="B40" s="14">
        <v>280800</v>
      </c>
    </row>
    <row r="41" spans="1:2" x14ac:dyDescent="0.25">
      <c r="A41" s="27" t="s">
        <v>71</v>
      </c>
      <c r="B41" s="14">
        <v>105000</v>
      </c>
    </row>
    <row r="42" spans="1:2" x14ac:dyDescent="0.25">
      <c r="A42" s="27" t="s">
        <v>72</v>
      </c>
      <c r="B42" s="14">
        <v>1185000</v>
      </c>
    </row>
    <row r="43" spans="1:2" x14ac:dyDescent="0.25">
      <c r="A43" s="27" t="s">
        <v>73</v>
      </c>
      <c r="B43" s="14">
        <v>1185000</v>
      </c>
    </row>
    <row r="44" spans="1:2" x14ac:dyDescent="0.25">
      <c r="A44" s="27" t="s">
        <v>74</v>
      </c>
      <c r="B44" s="14">
        <v>120000</v>
      </c>
    </row>
    <row r="45" spans="1:2" x14ac:dyDescent="0.25">
      <c r="A45" s="27" t="s">
        <v>75</v>
      </c>
      <c r="B45" s="14">
        <v>100000.00000000001</v>
      </c>
    </row>
    <row r="46" spans="1:2" x14ac:dyDescent="0.25">
      <c r="A46" s="27" t="s">
        <v>76</v>
      </c>
      <c r="B46" s="14">
        <v>3280000</v>
      </c>
    </row>
    <row r="47" spans="1:2" x14ac:dyDescent="0.25">
      <c r="A47" s="27" t="s">
        <v>77</v>
      </c>
      <c r="B47" s="14">
        <v>180000</v>
      </c>
    </row>
    <row r="48" spans="1:2" x14ac:dyDescent="0.25">
      <c r="A48" s="27" t="s">
        <v>78</v>
      </c>
      <c r="B48" s="14">
        <v>100000.00000000001</v>
      </c>
    </row>
    <row r="49" spans="1:2" x14ac:dyDescent="0.25">
      <c r="A49" s="27" t="s">
        <v>79</v>
      </c>
      <c r="B49" s="14">
        <v>1185000</v>
      </c>
    </row>
    <row r="50" spans="1:2" x14ac:dyDescent="0.25">
      <c r="A50" s="27" t="s">
        <v>80</v>
      </c>
      <c r="B50" s="14">
        <v>99999.999999999985</v>
      </c>
    </row>
    <row r="51" spans="1:2" x14ac:dyDescent="0.25">
      <c r="A51" s="27" t="s">
        <v>81</v>
      </c>
      <c r="B51" s="14">
        <v>270000</v>
      </c>
    </row>
    <row r="52" spans="1:2" x14ac:dyDescent="0.25">
      <c r="A52" s="27" t="s">
        <v>82</v>
      </c>
      <c r="B52" s="14">
        <v>415000</v>
      </c>
    </row>
    <row r="53" spans="1:2" x14ac:dyDescent="0.25">
      <c r="A53" s="27" t="s">
        <v>83</v>
      </c>
      <c r="B53" s="14">
        <v>237600</v>
      </c>
    </row>
    <row r="54" spans="1:2" x14ac:dyDescent="0.25">
      <c r="A54" s="27" t="s">
        <v>84</v>
      </c>
      <c r="B54" s="14">
        <v>439200</v>
      </c>
    </row>
    <row r="55" spans="1:2" x14ac:dyDescent="0.25">
      <c r="A55" s="27" t="s">
        <v>85</v>
      </c>
      <c r="B55" s="14">
        <v>195000</v>
      </c>
    </row>
    <row r="56" spans="1:2" x14ac:dyDescent="0.25">
      <c r="A56" s="27" t="s">
        <v>86</v>
      </c>
      <c r="B56" s="14">
        <v>3280000</v>
      </c>
    </row>
    <row r="57" spans="1:2" x14ac:dyDescent="0.25">
      <c r="A57" s="27" t="s">
        <v>87</v>
      </c>
      <c r="B57" s="14">
        <v>1185000</v>
      </c>
    </row>
    <row r="58" spans="1:2" x14ac:dyDescent="0.25">
      <c r="A58" s="27" t="s">
        <v>88</v>
      </c>
      <c r="B58" s="14">
        <v>237600</v>
      </c>
    </row>
    <row r="59" spans="1:2" x14ac:dyDescent="0.25">
      <c r="A59" s="27" t="s">
        <v>89</v>
      </c>
      <c r="B59" s="14">
        <v>338400</v>
      </c>
    </row>
    <row r="60" spans="1:2" x14ac:dyDescent="0.25">
      <c r="A60" s="27" t="s">
        <v>90</v>
      </c>
      <c r="B60" s="14">
        <v>3280000</v>
      </c>
    </row>
    <row r="61" spans="1:2" x14ac:dyDescent="0.25">
      <c r="A61" s="27" t="s">
        <v>91</v>
      </c>
      <c r="B61" s="14">
        <v>195000</v>
      </c>
    </row>
    <row r="62" spans="1:2" x14ac:dyDescent="0.25">
      <c r="A62" s="27" t="s">
        <v>92</v>
      </c>
      <c r="B62" s="14">
        <v>270000</v>
      </c>
    </row>
    <row r="63" spans="1:2" x14ac:dyDescent="0.25">
      <c r="A63" s="27" t="s">
        <v>93</v>
      </c>
      <c r="B63" s="14">
        <v>270000</v>
      </c>
    </row>
    <row r="64" spans="1:2" x14ac:dyDescent="0.25">
      <c r="A64" s="27" t="s">
        <v>94</v>
      </c>
      <c r="B64" s="14">
        <v>3280000</v>
      </c>
    </row>
    <row r="65" spans="1:2" x14ac:dyDescent="0.25">
      <c r="A65" s="27" t="s">
        <v>95</v>
      </c>
      <c r="B65" s="14">
        <v>1185000</v>
      </c>
    </row>
    <row r="66" spans="1:2" x14ac:dyDescent="0.25">
      <c r="A66" s="27" t="s">
        <v>96</v>
      </c>
      <c r="B66" s="14">
        <v>315000</v>
      </c>
    </row>
    <row r="67" spans="1:2" x14ac:dyDescent="0.25">
      <c r="A67" s="27" t="s">
        <v>97</v>
      </c>
      <c r="B67" s="14">
        <v>150000</v>
      </c>
    </row>
    <row r="68" spans="1:2" x14ac:dyDescent="0.25">
      <c r="A68" s="27" t="s">
        <v>98</v>
      </c>
      <c r="B68" s="14">
        <v>1185000</v>
      </c>
    </row>
    <row r="69" spans="1:2" x14ac:dyDescent="0.25">
      <c r="A69" s="27" t="s">
        <v>99</v>
      </c>
      <c r="B69" s="14">
        <v>1185000</v>
      </c>
    </row>
    <row r="70" spans="1:2" x14ac:dyDescent="0.25">
      <c r="A70" s="27" t="s">
        <v>100</v>
      </c>
      <c r="B70" s="14">
        <v>381600</v>
      </c>
    </row>
    <row r="71" spans="1:2" x14ac:dyDescent="0.25">
      <c r="A71" s="27" t="s">
        <v>101</v>
      </c>
      <c r="B71" s="14">
        <v>240000</v>
      </c>
    </row>
    <row r="72" spans="1:2" x14ac:dyDescent="0.25">
      <c r="A72" s="27" t="s">
        <v>102</v>
      </c>
      <c r="B72" s="14">
        <v>150000</v>
      </c>
    </row>
    <row r="73" spans="1:2" x14ac:dyDescent="0.25">
      <c r="A73" s="27" t="s">
        <v>103</v>
      </c>
      <c r="B73" s="14">
        <v>225000</v>
      </c>
    </row>
    <row r="74" spans="1:2" x14ac:dyDescent="0.25">
      <c r="A74" s="27" t="s">
        <v>104</v>
      </c>
      <c r="B74" s="14">
        <v>3280000</v>
      </c>
    </row>
    <row r="75" spans="1:2" x14ac:dyDescent="0.25">
      <c r="A75" s="27" t="s">
        <v>105</v>
      </c>
      <c r="B75" s="14">
        <v>132000</v>
      </c>
    </row>
    <row r="76" spans="1:2" x14ac:dyDescent="0.25">
      <c r="A76" s="27" t="s">
        <v>106</v>
      </c>
      <c r="B76" s="14">
        <v>338400</v>
      </c>
    </row>
    <row r="77" spans="1:2" x14ac:dyDescent="0.25">
      <c r="A77" s="27" t="s">
        <v>107</v>
      </c>
      <c r="B77" s="14">
        <v>453600</v>
      </c>
    </row>
    <row r="78" spans="1:2" x14ac:dyDescent="0.25">
      <c r="A78" s="27" t="s">
        <v>108</v>
      </c>
      <c r="B78" s="14">
        <v>180000</v>
      </c>
    </row>
    <row r="79" spans="1:2" x14ac:dyDescent="0.25">
      <c r="A79" s="27" t="s">
        <v>109</v>
      </c>
      <c r="B79" s="14">
        <v>352800</v>
      </c>
    </row>
    <row r="80" spans="1:2" x14ac:dyDescent="0.25">
      <c r="A80" s="27" t="s">
        <v>110</v>
      </c>
      <c r="B80" s="14">
        <v>1185000</v>
      </c>
    </row>
    <row r="81" spans="1:2" x14ac:dyDescent="0.25">
      <c r="A81" s="27" t="s">
        <v>111</v>
      </c>
      <c r="B81" s="14">
        <v>324000</v>
      </c>
    </row>
    <row r="82" spans="1:2" x14ac:dyDescent="0.25">
      <c r="A82" s="27" t="s">
        <v>112</v>
      </c>
      <c r="B82" s="14">
        <v>270000</v>
      </c>
    </row>
    <row r="83" spans="1:2" x14ac:dyDescent="0.25">
      <c r="A83" s="27" t="s">
        <v>113</v>
      </c>
      <c r="B83" s="14">
        <v>295200</v>
      </c>
    </row>
    <row r="84" spans="1:2" x14ac:dyDescent="0.25">
      <c r="A84" s="27" t="s">
        <v>114</v>
      </c>
      <c r="B84" s="14">
        <v>176000</v>
      </c>
    </row>
    <row r="85" spans="1:2" x14ac:dyDescent="0.25">
      <c r="A85" s="27" t="s">
        <v>115</v>
      </c>
      <c r="B85" s="14">
        <v>1185000</v>
      </c>
    </row>
    <row r="86" spans="1:2" x14ac:dyDescent="0.25">
      <c r="A86" s="27" t="s">
        <v>116</v>
      </c>
      <c r="B86" s="14">
        <v>165000</v>
      </c>
    </row>
    <row r="87" spans="1:2" x14ac:dyDescent="0.25">
      <c r="A87" s="27" t="s">
        <v>117</v>
      </c>
      <c r="B87" s="14">
        <v>150000</v>
      </c>
    </row>
    <row r="88" spans="1:2" x14ac:dyDescent="0.25">
      <c r="A88" s="27" t="s">
        <v>118</v>
      </c>
      <c r="B88" s="14">
        <v>210000</v>
      </c>
    </row>
    <row r="89" spans="1:2" x14ac:dyDescent="0.25">
      <c r="A89" s="27" t="s">
        <v>119</v>
      </c>
      <c r="B89" s="14">
        <v>105000</v>
      </c>
    </row>
    <row r="90" spans="1:2" x14ac:dyDescent="0.25">
      <c r="A90" s="27" t="s">
        <v>120</v>
      </c>
      <c r="B90" s="14">
        <v>1185000</v>
      </c>
    </row>
    <row r="91" spans="1:2" x14ac:dyDescent="0.25">
      <c r="A91" s="27" t="s">
        <v>121</v>
      </c>
      <c r="B91" s="14">
        <v>1185000</v>
      </c>
    </row>
    <row r="92" spans="1:2" x14ac:dyDescent="0.25">
      <c r="A92" s="27" t="s">
        <v>122</v>
      </c>
      <c r="B92" s="14">
        <v>324000</v>
      </c>
    </row>
    <row r="93" spans="1:2" x14ac:dyDescent="0.25">
      <c r="A93" s="27" t="s">
        <v>123</v>
      </c>
      <c r="B93" s="14">
        <v>223200</v>
      </c>
    </row>
    <row r="94" spans="1:2" x14ac:dyDescent="0.25">
      <c r="A94" s="27" t="s">
        <v>124</v>
      </c>
      <c r="B94" s="14">
        <v>270000</v>
      </c>
    </row>
    <row r="95" spans="1:2" x14ac:dyDescent="0.25">
      <c r="A95" s="27" t="s">
        <v>125</v>
      </c>
      <c r="B95" s="14">
        <v>374400</v>
      </c>
    </row>
    <row r="96" spans="1:2" x14ac:dyDescent="0.25">
      <c r="A96" s="27" t="s">
        <v>126</v>
      </c>
      <c r="B96" s="14">
        <v>331200</v>
      </c>
    </row>
    <row r="97" spans="1:2" x14ac:dyDescent="0.25">
      <c r="A97" s="27" t="s">
        <v>127</v>
      </c>
      <c r="B97" s="14">
        <v>302400</v>
      </c>
    </row>
    <row r="98" spans="1:2" x14ac:dyDescent="0.25">
      <c r="A98" s="27" t="s">
        <v>128</v>
      </c>
      <c r="B98" s="14">
        <v>195000</v>
      </c>
    </row>
    <row r="99" spans="1:2" x14ac:dyDescent="0.25">
      <c r="A99" s="27" t="s">
        <v>129</v>
      </c>
      <c r="B99" s="14">
        <v>367200</v>
      </c>
    </row>
    <row r="100" spans="1:2" x14ac:dyDescent="0.25">
      <c r="A100" s="27" t="s">
        <v>130</v>
      </c>
      <c r="B100" s="14">
        <v>432000</v>
      </c>
    </row>
    <row r="101" spans="1:2" x14ac:dyDescent="0.25">
      <c r="A101" s="12" t="s">
        <v>131</v>
      </c>
      <c r="B101" s="14">
        <v>295200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hisWorkbook.Expected_Payment">
                <anchor moveWithCells="1" sizeWithCells="1">
                  <from>
                    <xdr:col>12</xdr:col>
                    <xdr:colOff>247650</xdr:colOff>
                    <xdr:row>1</xdr:row>
                    <xdr:rowOff>9525</xdr:rowOff>
                  </from>
                  <to>
                    <xdr:col>14</xdr:col>
                    <xdr:colOff>257175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hisWorkbook.ResetCalc">
                <anchor moveWithCells="1" sizeWithCells="1">
                  <from>
                    <xdr:col>12</xdr:col>
                    <xdr:colOff>257175</xdr:colOff>
                    <xdr:row>4</xdr:row>
                    <xdr:rowOff>171450</xdr:rowOff>
                  </from>
                  <to>
                    <xdr:col>14</xdr:col>
                    <xdr:colOff>257175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5C44D-CA40-4C04-B4EA-D4917FE19723}">
  <sheetPr codeName="Sheet2"/>
  <dimension ref="A1:E101"/>
  <sheetViews>
    <sheetView topLeftCell="A56" workbookViewId="0">
      <selection activeCell="H36" sqref="H36"/>
    </sheetView>
  </sheetViews>
  <sheetFormatPr defaultRowHeight="15" x14ac:dyDescent="0.25"/>
  <cols>
    <col min="1" max="1" width="14.28515625" bestFit="1" customWidth="1"/>
    <col min="2" max="2" width="10.85546875" bestFit="1" customWidth="1"/>
    <col min="3" max="3" width="9" bestFit="1" customWidth="1"/>
    <col min="4" max="4" width="23.85546875" bestFit="1" customWidth="1"/>
    <col min="5" max="5" width="19.140625" bestFit="1" customWidth="1"/>
  </cols>
  <sheetData>
    <row r="1" spans="1:5" x14ac:dyDescent="0.25">
      <c r="A1" t="s">
        <v>29</v>
      </c>
      <c r="B1" t="s">
        <v>30</v>
      </c>
      <c r="C1" t="s">
        <v>136</v>
      </c>
      <c r="D1" t="s">
        <v>31</v>
      </c>
      <c r="E1" t="s">
        <v>137</v>
      </c>
    </row>
    <row r="2" spans="1:5" x14ac:dyDescent="0.25">
      <c r="A2" t="s">
        <v>32</v>
      </c>
      <c r="B2">
        <v>5</v>
      </c>
      <c r="C2">
        <v>60</v>
      </c>
      <c r="D2">
        <v>67</v>
      </c>
      <c r="E2">
        <v>19</v>
      </c>
    </row>
    <row r="3" spans="1:5" x14ac:dyDescent="0.25">
      <c r="A3" t="s">
        <v>33</v>
      </c>
      <c r="B3">
        <v>4</v>
      </c>
      <c r="C3">
        <v>50</v>
      </c>
    </row>
    <row r="4" spans="1:5" x14ac:dyDescent="0.25">
      <c r="A4" t="s">
        <v>34</v>
      </c>
      <c r="B4">
        <v>3</v>
      </c>
      <c r="C4">
        <v>40</v>
      </c>
      <c r="D4">
        <v>50</v>
      </c>
    </row>
    <row r="5" spans="1:5" x14ac:dyDescent="0.25">
      <c r="A5" t="s">
        <v>35</v>
      </c>
      <c r="B5">
        <v>1</v>
      </c>
      <c r="C5">
        <v>45</v>
      </c>
      <c r="D5">
        <v>48</v>
      </c>
      <c r="E5">
        <v>18</v>
      </c>
    </row>
    <row r="6" spans="1:5" x14ac:dyDescent="0.25">
      <c r="A6" t="s">
        <v>36</v>
      </c>
      <c r="B6">
        <v>2</v>
      </c>
      <c r="C6">
        <v>52</v>
      </c>
    </row>
    <row r="7" spans="1:5" x14ac:dyDescent="0.25">
      <c r="A7" t="s">
        <v>37</v>
      </c>
      <c r="B7">
        <v>2</v>
      </c>
      <c r="C7">
        <v>63</v>
      </c>
    </row>
    <row r="8" spans="1:5" x14ac:dyDescent="0.25">
      <c r="A8" t="s">
        <v>38</v>
      </c>
      <c r="B8">
        <v>4</v>
      </c>
      <c r="C8">
        <v>64</v>
      </c>
    </row>
    <row r="9" spans="1:5" x14ac:dyDescent="0.25">
      <c r="A9" t="s">
        <v>39</v>
      </c>
      <c r="B9">
        <v>3</v>
      </c>
      <c r="C9">
        <v>48</v>
      </c>
      <c r="D9">
        <v>60</v>
      </c>
    </row>
    <row r="10" spans="1:5" x14ac:dyDescent="0.25">
      <c r="A10" t="s">
        <v>40</v>
      </c>
      <c r="B10">
        <v>4</v>
      </c>
      <c r="C10">
        <v>46</v>
      </c>
    </row>
    <row r="11" spans="1:5" x14ac:dyDescent="0.25">
      <c r="A11" t="s">
        <v>41</v>
      </c>
      <c r="B11">
        <v>5</v>
      </c>
      <c r="C11">
        <v>58</v>
      </c>
      <c r="D11">
        <v>63</v>
      </c>
      <c r="E11">
        <v>20</v>
      </c>
    </row>
    <row r="12" spans="1:5" x14ac:dyDescent="0.25">
      <c r="A12" t="s">
        <v>42</v>
      </c>
      <c r="B12">
        <v>7</v>
      </c>
      <c r="C12">
        <v>55</v>
      </c>
      <c r="D12">
        <v>64</v>
      </c>
      <c r="E12">
        <v>15</v>
      </c>
    </row>
    <row r="13" spans="1:5" x14ac:dyDescent="0.25">
      <c r="A13" t="s">
        <v>43</v>
      </c>
      <c r="B13">
        <v>1</v>
      </c>
      <c r="C13">
        <v>55</v>
      </c>
      <c r="D13">
        <v>68</v>
      </c>
      <c r="E13">
        <v>5</v>
      </c>
    </row>
    <row r="14" spans="1:5" x14ac:dyDescent="0.25">
      <c r="A14" t="s">
        <v>44</v>
      </c>
      <c r="B14">
        <v>1</v>
      </c>
      <c r="C14">
        <v>53</v>
      </c>
      <c r="D14">
        <v>54</v>
      </c>
      <c r="E14">
        <v>5</v>
      </c>
    </row>
    <row r="15" spans="1:5" x14ac:dyDescent="0.25">
      <c r="A15" t="s">
        <v>45</v>
      </c>
      <c r="B15">
        <v>1</v>
      </c>
      <c r="C15">
        <v>45</v>
      </c>
      <c r="D15">
        <v>58</v>
      </c>
      <c r="E15">
        <v>19</v>
      </c>
    </row>
    <row r="16" spans="1:5" x14ac:dyDescent="0.25">
      <c r="A16" t="s">
        <v>46</v>
      </c>
      <c r="B16">
        <v>6</v>
      </c>
      <c r="C16">
        <v>53</v>
      </c>
      <c r="D16">
        <v>67</v>
      </c>
      <c r="E16">
        <v>7</v>
      </c>
    </row>
    <row r="17" spans="1:5" x14ac:dyDescent="0.25">
      <c r="A17" t="s">
        <v>47</v>
      </c>
      <c r="B17">
        <v>7</v>
      </c>
      <c r="C17">
        <v>56</v>
      </c>
      <c r="D17">
        <v>58</v>
      </c>
      <c r="E17">
        <v>10</v>
      </c>
    </row>
    <row r="18" spans="1:5" x14ac:dyDescent="0.25">
      <c r="A18" t="s">
        <v>48</v>
      </c>
      <c r="B18">
        <v>5</v>
      </c>
      <c r="C18">
        <v>52</v>
      </c>
      <c r="D18">
        <v>61</v>
      </c>
      <c r="E18">
        <v>20</v>
      </c>
    </row>
    <row r="19" spans="1:5" x14ac:dyDescent="0.25">
      <c r="A19" t="s">
        <v>49</v>
      </c>
      <c r="B19">
        <v>2</v>
      </c>
      <c r="C19">
        <v>56</v>
      </c>
    </row>
    <row r="20" spans="1:5" x14ac:dyDescent="0.25">
      <c r="A20" t="s">
        <v>50</v>
      </c>
      <c r="B20">
        <v>2</v>
      </c>
      <c r="C20">
        <v>47</v>
      </c>
    </row>
    <row r="21" spans="1:5" x14ac:dyDescent="0.25">
      <c r="A21" t="s">
        <v>51</v>
      </c>
      <c r="B21">
        <v>3</v>
      </c>
      <c r="C21">
        <v>41</v>
      </c>
      <c r="D21">
        <v>41</v>
      </c>
    </row>
    <row r="22" spans="1:5" x14ac:dyDescent="0.25">
      <c r="A22" t="s">
        <v>52</v>
      </c>
      <c r="B22">
        <v>6</v>
      </c>
      <c r="C22">
        <v>50</v>
      </c>
      <c r="D22">
        <v>58</v>
      </c>
      <c r="E22">
        <v>20</v>
      </c>
    </row>
    <row r="23" spans="1:5" x14ac:dyDescent="0.25">
      <c r="A23" t="s">
        <v>53</v>
      </c>
      <c r="B23">
        <v>4</v>
      </c>
      <c r="C23">
        <v>58</v>
      </c>
    </row>
    <row r="24" spans="1:5" x14ac:dyDescent="0.25">
      <c r="A24" t="s">
        <v>54</v>
      </c>
      <c r="B24">
        <v>1</v>
      </c>
      <c r="C24">
        <v>51</v>
      </c>
      <c r="D24">
        <v>57</v>
      </c>
      <c r="E24">
        <v>6</v>
      </c>
    </row>
    <row r="25" spans="1:5" x14ac:dyDescent="0.25">
      <c r="A25" t="s">
        <v>55</v>
      </c>
      <c r="B25">
        <v>5</v>
      </c>
      <c r="C25">
        <v>40</v>
      </c>
      <c r="D25">
        <v>43</v>
      </c>
      <c r="E25">
        <v>17</v>
      </c>
    </row>
    <row r="26" spans="1:5" x14ac:dyDescent="0.25">
      <c r="A26" t="s">
        <v>56</v>
      </c>
      <c r="B26">
        <v>7</v>
      </c>
      <c r="C26">
        <v>47</v>
      </c>
      <c r="D26">
        <v>61</v>
      </c>
      <c r="E26">
        <v>5</v>
      </c>
    </row>
    <row r="27" spans="1:5" x14ac:dyDescent="0.25">
      <c r="A27" t="s">
        <v>57</v>
      </c>
      <c r="B27">
        <v>5</v>
      </c>
      <c r="C27">
        <v>57</v>
      </c>
      <c r="D27">
        <v>60</v>
      </c>
      <c r="E27">
        <v>20</v>
      </c>
    </row>
    <row r="28" spans="1:5" x14ac:dyDescent="0.25">
      <c r="A28" t="s">
        <v>58</v>
      </c>
      <c r="B28">
        <v>1</v>
      </c>
      <c r="C28">
        <v>52</v>
      </c>
      <c r="D28">
        <v>66</v>
      </c>
      <c r="E28">
        <v>12</v>
      </c>
    </row>
    <row r="29" spans="1:5" x14ac:dyDescent="0.25">
      <c r="A29" t="s">
        <v>59</v>
      </c>
      <c r="B29">
        <v>3</v>
      </c>
      <c r="C29">
        <v>67</v>
      </c>
      <c r="D29">
        <v>71</v>
      </c>
    </row>
    <row r="30" spans="1:5" x14ac:dyDescent="0.25">
      <c r="A30" t="s">
        <v>60</v>
      </c>
      <c r="B30">
        <v>7</v>
      </c>
      <c r="C30">
        <v>42</v>
      </c>
      <c r="D30">
        <v>46</v>
      </c>
      <c r="E30">
        <v>16</v>
      </c>
    </row>
    <row r="31" spans="1:5" x14ac:dyDescent="0.25">
      <c r="A31" t="s">
        <v>61</v>
      </c>
      <c r="B31">
        <v>1</v>
      </c>
      <c r="C31">
        <v>60</v>
      </c>
      <c r="D31">
        <v>66</v>
      </c>
      <c r="E31">
        <v>8</v>
      </c>
    </row>
    <row r="32" spans="1:5" x14ac:dyDescent="0.25">
      <c r="A32" t="s">
        <v>62</v>
      </c>
      <c r="B32">
        <v>1</v>
      </c>
      <c r="C32">
        <v>45</v>
      </c>
      <c r="D32">
        <v>45</v>
      </c>
      <c r="E32">
        <v>19</v>
      </c>
    </row>
    <row r="33" spans="1:5" x14ac:dyDescent="0.25">
      <c r="A33" t="s">
        <v>63</v>
      </c>
      <c r="B33">
        <v>1</v>
      </c>
      <c r="C33">
        <v>63</v>
      </c>
      <c r="D33">
        <v>69</v>
      </c>
      <c r="E33">
        <v>6</v>
      </c>
    </row>
    <row r="34" spans="1:5" x14ac:dyDescent="0.25">
      <c r="A34" t="s">
        <v>64</v>
      </c>
      <c r="B34">
        <v>1</v>
      </c>
      <c r="C34">
        <v>42</v>
      </c>
      <c r="D34">
        <v>43</v>
      </c>
      <c r="E34">
        <v>19</v>
      </c>
    </row>
    <row r="35" spans="1:5" x14ac:dyDescent="0.25">
      <c r="A35" t="s">
        <v>65</v>
      </c>
      <c r="B35">
        <v>5</v>
      </c>
      <c r="C35">
        <v>44</v>
      </c>
      <c r="D35">
        <v>57</v>
      </c>
      <c r="E35">
        <v>5</v>
      </c>
    </row>
    <row r="36" spans="1:5" x14ac:dyDescent="0.25">
      <c r="A36" t="s">
        <v>66</v>
      </c>
      <c r="B36">
        <v>1</v>
      </c>
      <c r="C36">
        <v>63</v>
      </c>
      <c r="D36">
        <v>69</v>
      </c>
      <c r="E36">
        <v>20</v>
      </c>
    </row>
    <row r="37" spans="1:5" x14ac:dyDescent="0.25">
      <c r="A37" t="s">
        <v>67</v>
      </c>
      <c r="B37">
        <v>1</v>
      </c>
      <c r="C37">
        <v>68</v>
      </c>
      <c r="D37">
        <v>69</v>
      </c>
      <c r="E37">
        <v>17</v>
      </c>
    </row>
    <row r="38" spans="1:5" x14ac:dyDescent="0.25">
      <c r="A38" t="s">
        <v>68</v>
      </c>
      <c r="B38">
        <v>2</v>
      </c>
      <c r="C38">
        <v>42</v>
      </c>
    </row>
    <row r="39" spans="1:5" x14ac:dyDescent="0.25">
      <c r="A39" t="s">
        <v>69</v>
      </c>
      <c r="B39">
        <v>2</v>
      </c>
      <c r="C39">
        <v>67</v>
      </c>
    </row>
    <row r="40" spans="1:5" x14ac:dyDescent="0.25">
      <c r="A40" t="s">
        <v>70</v>
      </c>
      <c r="B40">
        <v>3</v>
      </c>
      <c r="C40">
        <v>70</v>
      </c>
      <c r="D40">
        <v>72</v>
      </c>
    </row>
    <row r="41" spans="1:5" x14ac:dyDescent="0.25">
      <c r="A41" t="s">
        <v>71</v>
      </c>
      <c r="B41">
        <v>1</v>
      </c>
      <c r="C41">
        <v>69</v>
      </c>
      <c r="D41">
        <v>78</v>
      </c>
      <c r="E41">
        <v>6</v>
      </c>
    </row>
    <row r="42" spans="1:5" x14ac:dyDescent="0.25">
      <c r="A42" t="s">
        <v>72</v>
      </c>
      <c r="B42">
        <v>2</v>
      </c>
      <c r="C42">
        <v>41</v>
      </c>
    </row>
    <row r="43" spans="1:5" x14ac:dyDescent="0.25">
      <c r="A43" t="s">
        <v>73</v>
      </c>
      <c r="B43">
        <v>2</v>
      </c>
      <c r="C43">
        <v>49</v>
      </c>
    </row>
    <row r="44" spans="1:5" x14ac:dyDescent="0.25">
      <c r="A44" t="s">
        <v>74</v>
      </c>
      <c r="B44">
        <v>7</v>
      </c>
      <c r="C44">
        <v>44</v>
      </c>
      <c r="D44">
        <v>59</v>
      </c>
      <c r="E44">
        <v>6</v>
      </c>
    </row>
    <row r="45" spans="1:5" x14ac:dyDescent="0.25">
      <c r="A45" t="s">
        <v>75</v>
      </c>
      <c r="B45">
        <v>6</v>
      </c>
      <c r="C45">
        <v>45</v>
      </c>
      <c r="D45">
        <v>52</v>
      </c>
      <c r="E45">
        <v>20</v>
      </c>
    </row>
    <row r="46" spans="1:5" x14ac:dyDescent="0.25">
      <c r="A46" t="s">
        <v>76</v>
      </c>
      <c r="B46">
        <v>4</v>
      </c>
      <c r="C46">
        <v>50</v>
      </c>
    </row>
    <row r="47" spans="1:5" x14ac:dyDescent="0.25">
      <c r="A47" t="s">
        <v>77</v>
      </c>
      <c r="B47">
        <v>7</v>
      </c>
      <c r="C47">
        <v>49</v>
      </c>
      <c r="D47">
        <v>63</v>
      </c>
      <c r="E47">
        <v>11</v>
      </c>
    </row>
    <row r="48" spans="1:5" x14ac:dyDescent="0.25">
      <c r="A48" t="s">
        <v>78</v>
      </c>
      <c r="B48">
        <v>6</v>
      </c>
      <c r="C48">
        <v>55</v>
      </c>
      <c r="D48">
        <v>57</v>
      </c>
      <c r="E48">
        <v>5</v>
      </c>
    </row>
    <row r="49" spans="1:5" x14ac:dyDescent="0.25">
      <c r="A49" t="s">
        <v>79</v>
      </c>
      <c r="B49">
        <v>2</v>
      </c>
      <c r="C49">
        <v>58</v>
      </c>
    </row>
    <row r="50" spans="1:5" x14ac:dyDescent="0.25">
      <c r="A50" t="s">
        <v>80</v>
      </c>
      <c r="B50">
        <v>6</v>
      </c>
      <c r="C50">
        <v>60</v>
      </c>
      <c r="D50">
        <v>73</v>
      </c>
      <c r="E50">
        <v>18</v>
      </c>
    </row>
    <row r="51" spans="1:5" x14ac:dyDescent="0.25">
      <c r="A51" t="s">
        <v>81</v>
      </c>
      <c r="B51">
        <v>7</v>
      </c>
      <c r="C51">
        <v>59</v>
      </c>
      <c r="D51">
        <v>60</v>
      </c>
      <c r="E51">
        <v>16</v>
      </c>
    </row>
    <row r="52" spans="1:5" x14ac:dyDescent="0.25">
      <c r="A52" t="s">
        <v>82</v>
      </c>
      <c r="B52">
        <v>5</v>
      </c>
      <c r="C52">
        <v>42</v>
      </c>
      <c r="D52">
        <v>55</v>
      </c>
      <c r="E52">
        <v>18</v>
      </c>
    </row>
    <row r="53" spans="1:5" x14ac:dyDescent="0.25">
      <c r="A53" t="s">
        <v>83</v>
      </c>
      <c r="B53">
        <v>3</v>
      </c>
      <c r="C53">
        <v>66</v>
      </c>
      <c r="D53">
        <v>78</v>
      </c>
    </row>
    <row r="54" spans="1:5" x14ac:dyDescent="0.25">
      <c r="A54" t="s">
        <v>84</v>
      </c>
      <c r="B54">
        <v>3</v>
      </c>
      <c r="C54">
        <v>49</v>
      </c>
      <c r="D54">
        <v>50</v>
      </c>
    </row>
    <row r="55" spans="1:5" x14ac:dyDescent="0.25">
      <c r="A55" t="s">
        <v>85</v>
      </c>
      <c r="B55">
        <v>1</v>
      </c>
      <c r="C55">
        <v>54</v>
      </c>
      <c r="D55">
        <v>55</v>
      </c>
      <c r="E55">
        <v>12</v>
      </c>
    </row>
    <row r="56" spans="1:5" x14ac:dyDescent="0.25">
      <c r="A56" t="s">
        <v>86</v>
      </c>
      <c r="B56">
        <v>4</v>
      </c>
      <c r="C56">
        <v>56</v>
      </c>
    </row>
    <row r="57" spans="1:5" x14ac:dyDescent="0.25">
      <c r="A57" t="s">
        <v>87</v>
      </c>
      <c r="B57">
        <v>2</v>
      </c>
      <c r="C57">
        <v>58</v>
      </c>
    </row>
    <row r="58" spans="1:5" x14ac:dyDescent="0.25">
      <c r="A58" t="s">
        <v>88</v>
      </c>
      <c r="B58">
        <v>3</v>
      </c>
      <c r="C58">
        <v>63</v>
      </c>
      <c r="D58">
        <v>78</v>
      </c>
    </row>
    <row r="59" spans="1:5" x14ac:dyDescent="0.25">
      <c r="A59" t="s">
        <v>89</v>
      </c>
      <c r="B59">
        <v>3</v>
      </c>
      <c r="C59">
        <v>51</v>
      </c>
      <c r="D59">
        <v>64</v>
      </c>
    </row>
    <row r="60" spans="1:5" x14ac:dyDescent="0.25">
      <c r="A60" t="s">
        <v>90</v>
      </c>
      <c r="B60">
        <v>4</v>
      </c>
      <c r="C60">
        <v>55</v>
      </c>
    </row>
    <row r="61" spans="1:5" x14ac:dyDescent="0.25">
      <c r="A61" t="s">
        <v>91</v>
      </c>
      <c r="B61">
        <v>1</v>
      </c>
      <c r="C61">
        <v>41</v>
      </c>
      <c r="D61">
        <v>51</v>
      </c>
      <c r="E61">
        <v>12</v>
      </c>
    </row>
    <row r="62" spans="1:5" x14ac:dyDescent="0.25">
      <c r="A62" t="s">
        <v>92</v>
      </c>
      <c r="B62">
        <v>1</v>
      </c>
      <c r="C62">
        <v>54</v>
      </c>
      <c r="D62">
        <v>63</v>
      </c>
      <c r="E62">
        <v>17</v>
      </c>
    </row>
    <row r="63" spans="1:5" x14ac:dyDescent="0.25">
      <c r="A63" t="s">
        <v>93</v>
      </c>
      <c r="B63">
        <v>7</v>
      </c>
      <c r="C63">
        <v>42</v>
      </c>
      <c r="D63">
        <v>57</v>
      </c>
      <c r="E63">
        <v>17</v>
      </c>
    </row>
    <row r="64" spans="1:5" x14ac:dyDescent="0.25">
      <c r="A64" t="s">
        <v>94</v>
      </c>
      <c r="B64">
        <v>4</v>
      </c>
      <c r="C64">
        <v>53</v>
      </c>
    </row>
    <row r="65" spans="1:5" x14ac:dyDescent="0.25">
      <c r="A65" t="s">
        <v>95</v>
      </c>
      <c r="B65">
        <v>2</v>
      </c>
      <c r="C65">
        <v>58</v>
      </c>
    </row>
    <row r="66" spans="1:5" x14ac:dyDescent="0.25">
      <c r="A66" t="s">
        <v>96</v>
      </c>
      <c r="B66">
        <v>1</v>
      </c>
      <c r="C66">
        <v>54</v>
      </c>
      <c r="D66">
        <v>66</v>
      </c>
      <c r="E66">
        <v>20</v>
      </c>
    </row>
    <row r="67" spans="1:5" x14ac:dyDescent="0.25">
      <c r="A67" t="s">
        <v>97</v>
      </c>
      <c r="B67">
        <v>7</v>
      </c>
      <c r="C67">
        <v>47</v>
      </c>
      <c r="D67">
        <v>57</v>
      </c>
      <c r="E67">
        <v>8</v>
      </c>
    </row>
    <row r="68" spans="1:5" x14ac:dyDescent="0.25">
      <c r="A68" t="s">
        <v>98</v>
      </c>
      <c r="B68">
        <v>2</v>
      </c>
      <c r="C68">
        <v>60</v>
      </c>
    </row>
    <row r="69" spans="1:5" x14ac:dyDescent="0.25">
      <c r="A69" t="s">
        <v>99</v>
      </c>
      <c r="B69">
        <v>2</v>
      </c>
      <c r="C69">
        <v>49</v>
      </c>
    </row>
    <row r="70" spans="1:5" x14ac:dyDescent="0.25">
      <c r="A70" t="s">
        <v>100</v>
      </c>
      <c r="B70">
        <v>3</v>
      </c>
      <c r="C70">
        <v>53</v>
      </c>
      <c r="D70">
        <v>58</v>
      </c>
    </row>
    <row r="71" spans="1:5" x14ac:dyDescent="0.25">
      <c r="A71" t="s">
        <v>101</v>
      </c>
      <c r="B71">
        <v>7</v>
      </c>
      <c r="C71">
        <v>50</v>
      </c>
      <c r="D71">
        <v>50</v>
      </c>
      <c r="E71">
        <v>15</v>
      </c>
    </row>
    <row r="72" spans="1:5" x14ac:dyDescent="0.25">
      <c r="A72" t="s">
        <v>102</v>
      </c>
      <c r="B72">
        <v>7</v>
      </c>
      <c r="C72">
        <v>44</v>
      </c>
      <c r="D72">
        <v>46</v>
      </c>
      <c r="E72">
        <v>9</v>
      </c>
    </row>
    <row r="73" spans="1:5" x14ac:dyDescent="0.25">
      <c r="A73" t="s">
        <v>103</v>
      </c>
      <c r="B73">
        <v>1</v>
      </c>
      <c r="C73">
        <v>56</v>
      </c>
      <c r="D73">
        <v>59</v>
      </c>
      <c r="E73">
        <v>14</v>
      </c>
    </row>
    <row r="74" spans="1:5" x14ac:dyDescent="0.25">
      <c r="A74" t="s">
        <v>104</v>
      </c>
      <c r="B74">
        <v>4</v>
      </c>
      <c r="C74">
        <v>51</v>
      </c>
    </row>
    <row r="75" spans="1:5" x14ac:dyDescent="0.25">
      <c r="A75" t="s">
        <v>105</v>
      </c>
      <c r="B75">
        <v>5</v>
      </c>
      <c r="C75">
        <v>68</v>
      </c>
      <c r="D75">
        <v>72</v>
      </c>
      <c r="E75">
        <v>5</v>
      </c>
    </row>
    <row r="76" spans="1:5" x14ac:dyDescent="0.25">
      <c r="A76" t="s">
        <v>106</v>
      </c>
      <c r="B76">
        <v>3</v>
      </c>
      <c r="C76">
        <v>57</v>
      </c>
      <c r="D76">
        <v>64</v>
      </c>
    </row>
    <row r="77" spans="1:5" x14ac:dyDescent="0.25">
      <c r="A77" t="s">
        <v>107</v>
      </c>
      <c r="B77">
        <v>3</v>
      </c>
      <c r="C77">
        <v>45</v>
      </c>
      <c r="D77">
        <v>48</v>
      </c>
    </row>
    <row r="78" spans="1:5" x14ac:dyDescent="0.25">
      <c r="A78" t="s">
        <v>108</v>
      </c>
      <c r="B78">
        <v>1</v>
      </c>
      <c r="C78">
        <v>54</v>
      </c>
      <c r="D78">
        <v>64</v>
      </c>
      <c r="E78">
        <v>11</v>
      </c>
    </row>
    <row r="79" spans="1:5" x14ac:dyDescent="0.25">
      <c r="A79" t="s">
        <v>109</v>
      </c>
      <c r="B79">
        <v>3</v>
      </c>
      <c r="C79">
        <v>51</v>
      </c>
      <c r="D79">
        <v>62</v>
      </c>
    </row>
    <row r="80" spans="1:5" x14ac:dyDescent="0.25">
      <c r="A80" t="s">
        <v>110</v>
      </c>
      <c r="B80">
        <v>2</v>
      </c>
      <c r="C80">
        <v>46</v>
      </c>
    </row>
    <row r="81" spans="1:5" x14ac:dyDescent="0.25">
      <c r="A81" t="s">
        <v>111</v>
      </c>
      <c r="B81">
        <v>3</v>
      </c>
      <c r="C81">
        <v>66</v>
      </c>
      <c r="D81">
        <v>66</v>
      </c>
    </row>
    <row r="82" spans="1:5" x14ac:dyDescent="0.25">
      <c r="A82" t="s">
        <v>112</v>
      </c>
      <c r="B82">
        <v>7</v>
      </c>
      <c r="C82">
        <v>62</v>
      </c>
      <c r="D82">
        <v>68</v>
      </c>
      <c r="E82">
        <v>17</v>
      </c>
    </row>
    <row r="83" spans="1:5" x14ac:dyDescent="0.25">
      <c r="A83" t="s">
        <v>113</v>
      </c>
      <c r="B83">
        <v>3</v>
      </c>
      <c r="C83">
        <v>57</v>
      </c>
      <c r="D83">
        <v>70</v>
      </c>
    </row>
    <row r="84" spans="1:5" x14ac:dyDescent="0.25">
      <c r="A84" t="s">
        <v>114</v>
      </c>
      <c r="B84">
        <v>5</v>
      </c>
      <c r="C84">
        <v>47</v>
      </c>
      <c r="D84">
        <v>47</v>
      </c>
      <c r="E84">
        <v>7</v>
      </c>
    </row>
    <row r="85" spans="1:5" x14ac:dyDescent="0.25">
      <c r="A85" t="s">
        <v>115</v>
      </c>
      <c r="B85">
        <v>2</v>
      </c>
      <c r="C85">
        <v>54</v>
      </c>
    </row>
    <row r="86" spans="1:5" x14ac:dyDescent="0.25">
      <c r="A86" t="s">
        <v>116</v>
      </c>
      <c r="B86">
        <v>1</v>
      </c>
      <c r="C86">
        <v>42</v>
      </c>
      <c r="D86">
        <v>51</v>
      </c>
      <c r="E86">
        <v>10</v>
      </c>
    </row>
    <row r="87" spans="1:5" x14ac:dyDescent="0.25">
      <c r="A87" t="s">
        <v>117</v>
      </c>
      <c r="B87">
        <v>7</v>
      </c>
      <c r="C87">
        <v>45</v>
      </c>
      <c r="D87">
        <v>48</v>
      </c>
      <c r="E87">
        <v>9</v>
      </c>
    </row>
    <row r="88" spans="1:5" x14ac:dyDescent="0.25">
      <c r="A88" t="s">
        <v>118</v>
      </c>
      <c r="B88">
        <v>7</v>
      </c>
      <c r="C88">
        <v>60</v>
      </c>
      <c r="D88">
        <v>61</v>
      </c>
      <c r="E88">
        <v>13</v>
      </c>
    </row>
    <row r="89" spans="1:5" x14ac:dyDescent="0.25">
      <c r="A89" t="s">
        <v>119</v>
      </c>
      <c r="B89">
        <v>1</v>
      </c>
      <c r="C89">
        <v>63</v>
      </c>
      <c r="D89">
        <v>73</v>
      </c>
      <c r="E89">
        <v>6</v>
      </c>
    </row>
    <row r="90" spans="1:5" x14ac:dyDescent="0.25">
      <c r="A90" t="s">
        <v>120</v>
      </c>
      <c r="B90">
        <v>2</v>
      </c>
      <c r="C90">
        <v>70</v>
      </c>
    </row>
    <row r="91" spans="1:5" x14ac:dyDescent="0.25">
      <c r="A91" t="s">
        <v>121</v>
      </c>
      <c r="B91">
        <v>2</v>
      </c>
      <c r="C91">
        <v>69</v>
      </c>
    </row>
    <row r="92" spans="1:5" x14ac:dyDescent="0.25">
      <c r="A92" t="s">
        <v>122</v>
      </c>
      <c r="B92">
        <v>3</v>
      </c>
      <c r="C92">
        <v>63</v>
      </c>
      <c r="D92">
        <v>66</v>
      </c>
    </row>
    <row r="93" spans="1:5" x14ac:dyDescent="0.25">
      <c r="A93" t="s">
        <v>123</v>
      </c>
      <c r="B93">
        <v>3</v>
      </c>
      <c r="C93">
        <v>68</v>
      </c>
      <c r="D93">
        <v>80</v>
      </c>
    </row>
    <row r="94" spans="1:5" x14ac:dyDescent="0.25">
      <c r="A94" t="s">
        <v>124</v>
      </c>
      <c r="B94">
        <v>7</v>
      </c>
      <c r="C94">
        <v>63</v>
      </c>
      <c r="D94">
        <v>69</v>
      </c>
      <c r="E94">
        <v>17</v>
      </c>
    </row>
    <row r="95" spans="1:5" x14ac:dyDescent="0.25">
      <c r="A95" t="s">
        <v>125</v>
      </c>
      <c r="B95">
        <v>3</v>
      </c>
      <c r="C95">
        <v>45</v>
      </c>
      <c r="D95">
        <v>59</v>
      </c>
    </row>
    <row r="96" spans="1:5" x14ac:dyDescent="0.25">
      <c r="A96" t="s">
        <v>126</v>
      </c>
      <c r="B96">
        <v>3</v>
      </c>
      <c r="C96">
        <v>55</v>
      </c>
      <c r="D96">
        <v>65</v>
      </c>
    </row>
    <row r="97" spans="1:5" x14ac:dyDescent="0.25">
      <c r="A97" t="s">
        <v>127</v>
      </c>
      <c r="B97">
        <v>3</v>
      </c>
      <c r="C97">
        <v>68</v>
      </c>
      <c r="D97">
        <v>69</v>
      </c>
    </row>
    <row r="98" spans="1:5" x14ac:dyDescent="0.25">
      <c r="A98" t="s">
        <v>128</v>
      </c>
      <c r="B98">
        <v>1</v>
      </c>
      <c r="C98">
        <v>65</v>
      </c>
      <c r="D98">
        <v>80</v>
      </c>
      <c r="E98">
        <v>12</v>
      </c>
    </row>
    <row r="99" spans="1:5" x14ac:dyDescent="0.25">
      <c r="A99" t="s">
        <v>129</v>
      </c>
      <c r="B99">
        <v>3</v>
      </c>
      <c r="C99">
        <v>58</v>
      </c>
      <c r="D99">
        <v>60</v>
      </c>
    </row>
    <row r="100" spans="1:5" x14ac:dyDescent="0.25">
      <c r="A100" t="s">
        <v>130</v>
      </c>
      <c r="B100">
        <v>3</v>
      </c>
      <c r="C100">
        <v>41</v>
      </c>
      <c r="D100">
        <v>51</v>
      </c>
    </row>
    <row r="101" spans="1:5" x14ac:dyDescent="0.25">
      <c r="A101" t="s">
        <v>131</v>
      </c>
      <c r="B101">
        <v>3</v>
      </c>
      <c r="C101">
        <v>61</v>
      </c>
      <c r="D101">
        <v>70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ThisWorkbook.Data_Import">
                <anchor moveWithCells="1" sizeWithCells="1">
                  <from>
                    <xdr:col>7</xdr:col>
                    <xdr:colOff>28575</xdr:colOff>
                    <xdr:row>1</xdr:row>
                    <xdr:rowOff>9525</xdr:rowOff>
                  </from>
                  <to>
                    <xdr:col>9</xdr:col>
                    <xdr:colOff>19050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F82A3-2042-40B5-883F-0C3B5824CD4D}">
  <sheetPr codeName="Sheet3"/>
  <dimension ref="C2:N74"/>
  <sheetViews>
    <sheetView showGridLines="0" topLeftCell="A41" zoomScaleNormal="100" workbookViewId="0">
      <selection activeCell="P12" sqref="P12"/>
    </sheetView>
  </sheetViews>
  <sheetFormatPr defaultRowHeight="15" x14ac:dyDescent="0.25"/>
  <cols>
    <col min="3" max="3" width="9.140625" style="5"/>
    <col min="12" max="12" width="19.85546875" bestFit="1" customWidth="1"/>
    <col min="13" max="13" width="8.5703125" bestFit="1" customWidth="1"/>
  </cols>
  <sheetData>
    <row r="2" spans="3:14" x14ac:dyDescent="0.25">
      <c r="D2" s="29" t="s">
        <v>28</v>
      </c>
      <c r="E2" s="29"/>
      <c r="F2" s="29"/>
      <c r="G2" s="29"/>
      <c r="H2" s="29"/>
      <c r="I2" s="29"/>
      <c r="J2" s="29"/>
    </row>
    <row r="3" spans="3:14" x14ac:dyDescent="0.25">
      <c r="C3" s="3" t="s">
        <v>0</v>
      </c>
      <c r="D3" s="3">
        <v>1</v>
      </c>
      <c r="E3" s="3">
        <v>2</v>
      </c>
      <c r="F3" s="3">
        <v>3</v>
      </c>
      <c r="G3" s="3">
        <v>4</v>
      </c>
      <c r="H3" s="3">
        <v>5</v>
      </c>
      <c r="I3" s="3">
        <v>6</v>
      </c>
      <c r="J3" s="3">
        <v>7</v>
      </c>
      <c r="L3" s="11" t="s">
        <v>14</v>
      </c>
    </row>
    <row r="4" spans="3:14" x14ac:dyDescent="0.25">
      <c r="C4" s="4" cm="1">
        <f t="array" ref="C4:C74">_xlfn.SEQUENCE(M5-M6+1,,M6,1)</f>
        <v>40</v>
      </c>
      <c r="D4" s="16" t="str" cm="1">
        <f t="array" ref="D4">_xlfn.IFS(OR(C4&lt;$M$36,AND(C4&gt;$M$37,C4&lt;=$M$5)),"-",C4&lt;=$M$36+(Annuity_Calc!$C$16),$M$9)</f>
        <v>-</v>
      </c>
      <c r="E4" s="16" t="str" cm="1">
        <f t="array" ref="E4">_xlfn.IFS(OR(C4&lt;$M$12,AND(C4&gt;$M$13,C4&lt;=$M$5)),"-",C4&lt;=$M$13,$M$14+(C4-$M$12)*$M$15)</f>
        <v>-</v>
      </c>
      <c r="F4" s="16" t="str" cm="1">
        <f t="array" ref="F4">_xlfn.IFS(C4&lt;$M$36,"-",C4&lt;=$M$5,$M$18)</f>
        <v>-</v>
      </c>
      <c r="G4" s="16" t="str" cm="1">
        <f t="array" ref="G4">_xlfn.IFS(OR(C4&lt;$M$21,AND(C4&gt;$M$22,C4&lt;=$M$5)),"-",C4&lt;=$M$22,C4*$M$23)</f>
        <v>-</v>
      </c>
      <c r="H4" s="16" t="str" cm="1">
        <f t="array" ref="H4">_xlfn.IFS(OR(C4&lt;$M$36,AND(C4&lt;=$M$5,C4&gt;$M$37)),"-",ROUNDUP(C4&lt;=(($M$37+$M$36)/2),0),$M$26,C4&lt;=$M$37,$M$27)</f>
        <v>-</v>
      </c>
      <c r="I4" s="16" t="str" cm="1">
        <f t="array" ref="I4">_xlfn.IFS(OR(AND(C4&lt;=$M$5,C4&gt;$M$37),C4&lt;$M$36),"-",C4&lt;=$M$37,$M$30/($M$37-$M$36+1))</f>
        <v>-</v>
      </c>
      <c r="J4" s="16" t="str" cm="1">
        <f t="array" ref="J4">_xlfn.IFS(C4&lt;$M$36,"-",AND(ISEVEN($M$36),ISEVEN(C4),C4&lt;=$M$37),$M$33,AND(ISODD($M$36),ISODD(C4),C4&lt;=$M$37),$M$33,C4&lt;=$M$5,"-")</f>
        <v>-</v>
      </c>
    </row>
    <row r="5" spans="3:14" x14ac:dyDescent="0.25">
      <c r="C5" s="4">
        <v>41</v>
      </c>
      <c r="D5" s="16" t="str" cm="1">
        <f t="array" ref="D5">_xlfn.IFS(OR(C5&lt;$M$36,AND(C5&gt;$M$37,C5&lt;=$M$5)),"-",C5&lt;=$M$36+(Annuity_Calc!$C$16),$M$9)</f>
        <v>-</v>
      </c>
      <c r="E5" s="16" t="str" cm="1">
        <f t="array" ref="E5">_xlfn.IFS(OR(C5&lt;$M$12,AND(C5&gt;$M$13,C5&lt;=$M$5)),"-",C5&lt;=$M$13,$M$14+(C5-$M$12)*$M$15)</f>
        <v>-</v>
      </c>
      <c r="F5" s="16" t="str" cm="1">
        <f t="array" ref="F5">_xlfn.IFS(C5&lt;$M$36,"-",C5&lt;=$M$5,$M$18)</f>
        <v>-</v>
      </c>
      <c r="G5" s="16" t="str" cm="1">
        <f t="array" ref="G5">_xlfn.IFS(OR(C5&lt;$M$21,AND(C5&gt;$M$22,C5&lt;=$M$5)),"-",C5&lt;=$M$22,C5*$M$23)</f>
        <v>-</v>
      </c>
      <c r="H5" s="16" t="str" cm="1">
        <f t="array" ref="H5">_xlfn.IFS(OR(C5&lt;$M$36,AND(C5&lt;=$M$5,C5&gt;$M$37)),"-",ROUNDUP(C5&lt;=(($M$37+$M$36)/2),0),$M$26,C5&lt;=$M$37,$M$27)</f>
        <v>-</v>
      </c>
      <c r="I5" s="16" t="str" cm="1">
        <f t="array" ref="I5">_xlfn.IFS(OR(AND(C5&lt;=$M$5,C5&gt;$M$37),C5&lt;$M$36),"-",C5&lt;=$M$37,$M$30/($M$37-$M$36+1))</f>
        <v>-</v>
      </c>
      <c r="J5" s="16" t="str" cm="1">
        <f t="array" ref="J5">_xlfn.IFS(C5&lt;$M$36,"-",AND(ISEVEN($M$36),ISEVEN(C5),C5&lt;=$M$37),$M$33,AND(ISODD($M$36),ISODD(C5),C5&lt;=$M$37),$M$33,C5&lt;=$M$5,"-")</f>
        <v>-</v>
      </c>
      <c r="L5" s="2" t="s">
        <v>4</v>
      </c>
      <c r="M5" s="1">
        <v>110</v>
      </c>
    </row>
    <row r="6" spans="3:14" x14ac:dyDescent="0.25">
      <c r="C6" s="4">
        <v>42</v>
      </c>
      <c r="D6" s="16" t="str" cm="1">
        <f t="array" ref="D6">_xlfn.IFS(OR(C6&lt;$M$36,AND(C6&gt;$M$37,C6&lt;=$M$5)),"-",C6&lt;=$M$36+(Annuity_Calc!$C$16),$M$9)</f>
        <v>-</v>
      </c>
      <c r="E6" s="16" t="str" cm="1">
        <f t="array" ref="E6">_xlfn.IFS(OR(C6&lt;$M$12,AND(C6&gt;$M$13,C6&lt;=$M$5)),"-",C6&lt;=$M$13,$M$14+(C6-$M$12)*$M$15)</f>
        <v>-</v>
      </c>
      <c r="F6" s="16" t="str" cm="1">
        <f t="array" ref="F6">_xlfn.IFS(C6&lt;$M$36,"-",C6&lt;=$M$5,$M$18)</f>
        <v>-</v>
      </c>
      <c r="G6" s="16" t="str" cm="1">
        <f t="array" ref="G6">_xlfn.IFS(OR(C6&lt;$M$21,AND(C6&gt;$M$22,C6&lt;=$M$5)),"-",C6&lt;=$M$22,C6*$M$23)</f>
        <v>-</v>
      </c>
      <c r="H6" s="16" t="str" cm="1">
        <f t="array" ref="H6">_xlfn.IFS(OR(C6&lt;$M$36,AND(C6&lt;=$M$5,C6&gt;$M$37)),"-",ROUNDUP(C6&lt;=(($M$37+$M$36)/2),0),$M$26,C6&lt;=$M$37,$M$27)</f>
        <v>-</v>
      </c>
      <c r="I6" s="16" t="str" cm="1">
        <f t="array" ref="I6">_xlfn.IFS(OR(AND(C6&lt;=$M$5,C6&gt;$M$37),C6&lt;$M$36),"-",C6&lt;=$M$37,$M$30/($M$37-$M$36+1))</f>
        <v>-</v>
      </c>
      <c r="J6" s="16" t="str" cm="1">
        <f t="array" ref="J6">_xlfn.IFS(C6&lt;$M$36,"-",AND(ISEVEN($M$36),ISEVEN(C6),C6&lt;=$M$37),$M$33,AND(ISODD($M$36),ISODD(C6),C6&lt;=$M$37),$M$33,C6&lt;=$M$5,"-")</f>
        <v>-</v>
      </c>
      <c r="L6" s="2" t="s">
        <v>5</v>
      </c>
      <c r="M6" s="1">
        <v>40</v>
      </c>
      <c r="N6" s="6"/>
    </row>
    <row r="7" spans="3:14" x14ac:dyDescent="0.25">
      <c r="C7" s="4">
        <v>43</v>
      </c>
      <c r="D7" s="16" t="str" cm="1">
        <f t="array" ref="D7">_xlfn.IFS(OR(C7&lt;$M$36,AND(C7&gt;$M$37,C7&lt;=$M$5)),"-",C7&lt;=$M$36+(Annuity_Calc!$C$16),$M$9)</f>
        <v>-</v>
      </c>
      <c r="E7" s="16" t="str" cm="1">
        <f t="array" ref="E7">_xlfn.IFS(OR(C7&lt;$M$12,AND(C7&gt;$M$13,C7&lt;=$M$5)),"-",C7&lt;=$M$13,$M$14+(C7-$M$12)*$M$15)</f>
        <v>-</v>
      </c>
      <c r="F7" s="16" t="str" cm="1">
        <f t="array" ref="F7">_xlfn.IFS(C7&lt;$M$36,"-",C7&lt;=$M$5,$M$18)</f>
        <v>-</v>
      </c>
      <c r="G7" s="16" t="str" cm="1">
        <f t="array" ref="G7">_xlfn.IFS(OR(C7&lt;$M$21,AND(C7&gt;$M$22,C7&lt;=$M$5)),"-",C7&lt;=$M$22,C7*$M$23)</f>
        <v>-</v>
      </c>
      <c r="H7" s="16" t="str" cm="1">
        <f t="array" ref="H7">_xlfn.IFS(OR(C7&lt;$M$36,AND(C7&lt;=$M$5,C7&gt;$M$37)),"-",ROUNDUP(C7&lt;=(($M$37+$M$36)/2),0),$M$26,C7&lt;=$M$37,$M$27)</f>
        <v>-</v>
      </c>
      <c r="I7" s="16" t="str" cm="1">
        <f t="array" ref="I7">_xlfn.IFS(OR(AND(C7&lt;=$M$5,C7&gt;$M$37),C7&lt;$M$36),"-",C7&lt;=$M$37,$M$30/($M$37-$M$36+1))</f>
        <v>-</v>
      </c>
      <c r="J7" s="16" t="str" cm="1">
        <f t="array" ref="J7">_xlfn.IFS(C7&lt;$M$36,"-",AND(ISEVEN($M$36),ISEVEN(C7),C7&lt;=$M$37),$M$33,AND(ISODD($M$36),ISODD(C7),C7&lt;=$M$37),$M$33,C7&lt;=$M$5,"-")</f>
        <v>-</v>
      </c>
    </row>
    <row r="8" spans="3:14" x14ac:dyDescent="0.25">
      <c r="C8" s="4">
        <v>44</v>
      </c>
      <c r="D8" s="16" t="str" cm="1">
        <f t="array" ref="D8">_xlfn.IFS(OR(C8&lt;$M$36,AND(C8&gt;$M$37,C8&lt;=$M$5)),"-",C8&lt;=$M$36+(Annuity_Calc!$C$16),$M$9)</f>
        <v>-</v>
      </c>
      <c r="E8" s="16" t="str" cm="1">
        <f t="array" ref="E8">_xlfn.IFS(OR(C8&lt;$M$12,AND(C8&gt;$M$13,C8&lt;=$M$5)),"-",C8&lt;=$M$13,$M$14+(C8-$M$12)*$M$15)</f>
        <v>-</v>
      </c>
      <c r="F8" s="16" t="str" cm="1">
        <f t="array" ref="F8">_xlfn.IFS(C8&lt;$M$36,"-",C8&lt;=$M$5,$M$18)</f>
        <v>-</v>
      </c>
      <c r="G8" s="16" t="str" cm="1">
        <f t="array" ref="G8">_xlfn.IFS(OR(C8&lt;$M$21,AND(C8&gt;$M$22,C8&lt;=$M$5)),"-",C8&lt;=$M$22,C8*$M$23)</f>
        <v>-</v>
      </c>
      <c r="H8" s="16" t="str" cm="1">
        <f t="array" ref="H8">_xlfn.IFS(OR(C8&lt;$M$36,AND(C8&lt;=$M$5,C8&gt;$M$37)),"-",ROUNDUP(C8&lt;=(($M$37+$M$36)/2),0),$M$26,C8&lt;=$M$37,$M$27)</f>
        <v>-</v>
      </c>
      <c r="I8" s="16" t="str" cm="1">
        <f t="array" ref="I8">_xlfn.IFS(OR(AND(C8&lt;=$M$5,C8&gt;$M$37),C8&lt;$M$36),"-",C8&lt;=$M$37,$M$30/($M$37-$M$36+1))</f>
        <v>-</v>
      </c>
      <c r="J8" s="16" t="str" cm="1">
        <f t="array" ref="J8">_xlfn.IFS(C8&lt;$M$36,"-",AND(ISEVEN($M$36),ISEVEN(C8),C8&lt;=$M$37),$M$33,AND(ISODD($M$36),ISODD(C8),C8&lt;=$M$37),$M$33,C8&lt;=$M$5,"-")</f>
        <v>-</v>
      </c>
      <c r="L8" s="10" t="s">
        <v>1</v>
      </c>
    </row>
    <row r="9" spans="3:14" x14ac:dyDescent="0.25">
      <c r="C9" s="4">
        <v>45</v>
      </c>
      <c r="D9" s="16" t="str" cm="1">
        <f t="array" ref="D9">_xlfn.IFS(OR(C9&lt;$M$36,AND(C9&gt;$M$37,C9&lt;=$M$5)),"-",C9&lt;=$M$36+(Annuity_Calc!$C$16),$M$9)</f>
        <v>-</v>
      </c>
      <c r="E9" s="16" t="str" cm="1">
        <f t="array" ref="E9">_xlfn.IFS(OR(C9&lt;$M$12,AND(C9&gt;$M$13,C9&lt;=$M$5)),"-",C9&lt;=$M$13,$M$14+(C9-$M$12)*$M$15)</f>
        <v>-</v>
      </c>
      <c r="F9" s="16" t="str" cm="1">
        <f t="array" ref="F9">_xlfn.IFS(C9&lt;$M$36,"-",C9&lt;=$M$5,$M$18)</f>
        <v>-</v>
      </c>
      <c r="G9" s="16" t="str" cm="1">
        <f t="array" ref="G9">_xlfn.IFS(OR(C9&lt;$M$21,AND(C9&gt;$M$22,C9&lt;=$M$5)),"-",C9&lt;=$M$22,C9*$M$23)</f>
        <v>-</v>
      </c>
      <c r="H9" s="16" t="str" cm="1">
        <f t="array" ref="H9">_xlfn.IFS(OR(C9&lt;$M$36,AND(C9&lt;=$M$5,C9&gt;$M$37)),"-",ROUNDUP(C9&lt;=(($M$37+$M$36)/2),0),$M$26,C9&lt;=$M$37,$M$27)</f>
        <v>-</v>
      </c>
      <c r="I9" s="16" t="str" cm="1">
        <f t="array" ref="I9">_xlfn.IFS(OR(AND(C9&lt;=$M$5,C9&gt;$M$37),C9&lt;$M$36),"-",C9&lt;=$M$37,$M$30/($M$37-$M$36+1))</f>
        <v>-</v>
      </c>
      <c r="J9" s="16" t="str" cm="1">
        <f t="array" ref="J9">_xlfn.IFS(C9&lt;$M$36,"-",AND(ISEVEN($M$36),ISEVEN(C9),C9&lt;=$M$37),$M$33,AND(ISODD($M$36),ISODD(C9),C9&lt;=$M$37),$M$33,C9&lt;=$M$5,"-")</f>
        <v>-</v>
      </c>
      <c r="L9" s="2" t="s">
        <v>10</v>
      </c>
      <c r="M9" s="9">
        <v>15000</v>
      </c>
    </row>
    <row r="10" spans="3:14" x14ac:dyDescent="0.25">
      <c r="C10" s="4">
        <v>46</v>
      </c>
      <c r="D10" s="16" t="str" cm="1">
        <f t="array" ref="D10">_xlfn.IFS(OR(C10&lt;$M$36,AND(C10&gt;$M$37,C10&lt;=$M$5)),"-",C10&lt;=$M$36+(Annuity_Calc!$C$16),$M$9)</f>
        <v>-</v>
      </c>
      <c r="E10" s="16" t="str" cm="1">
        <f t="array" ref="E10">_xlfn.IFS(OR(C10&lt;$M$12,AND(C10&gt;$M$13,C10&lt;=$M$5)),"-",C10&lt;=$M$13,$M$14+(C10-$M$12)*$M$15)</f>
        <v>-</v>
      </c>
      <c r="F10" s="16" t="str" cm="1">
        <f t="array" ref="F10">_xlfn.IFS(C10&lt;$M$36,"-",C10&lt;=$M$5,$M$18)</f>
        <v>-</v>
      </c>
      <c r="G10" s="16" t="str" cm="1">
        <f t="array" ref="G10">_xlfn.IFS(OR(C10&lt;$M$21,AND(C10&gt;$M$22,C10&lt;=$M$5)),"-",C10&lt;=$M$22,C10*$M$23)</f>
        <v>-</v>
      </c>
      <c r="H10" s="16" t="str" cm="1">
        <f t="array" ref="H10">_xlfn.IFS(OR(C10&lt;$M$36,AND(C10&lt;=$M$5,C10&gt;$M$37)),"-",ROUNDUP(C10&lt;=(($M$37+$M$36)/2),0),$M$26,C10&lt;=$M$37,$M$27)</f>
        <v>-</v>
      </c>
      <c r="I10" s="16" t="str" cm="1">
        <f t="array" ref="I10">_xlfn.IFS(OR(AND(C10&lt;=$M$5,C10&gt;$M$37),C10&lt;$M$36),"-",C10&lt;=$M$37,$M$30/($M$37-$M$36+1))</f>
        <v>-</v>
      </c>
      <c r="J10" s="16" t="str" cm="1">
        <f t="array" ref="J10">_xlfn.IFS(C10&lt;$M$36,"-",AND(ISEVEN($M$36),ISEVEN(C10),C10&lt;=$M$37),$M$33,AND(ISODD($M$36),ISODD(C10),C10&lt;=$M$37),$M$33,C10&lt;=$M$5,"-")</f>
        <v>-</v>
      </c>
    </row>
    <row r="11" spans="3:14" x14ac:dyDescent="0.25">
      <c r="C11" s="4">
        <v>47</v>
      </c>
      <c r="D11" s="16" t="str" cm="1">
        <f t="array" ref="D11">_xlfn.IFS(OR(C11&lt;$M$36,AND(C11&gt;$M$37,C11&lt;=$M$5)),"-",C11&lt;=$M$36+(Annuity_Calc!$C$16),$M$9)</f>
        <v>-</v>
      </c>
      <c r="E11" s="16" t="str" cm="1">
        <f t="array" ref="E11">_xlfn.IFS(OR(C11&lt;$M$12,AND(C11&gt;$M$13,C11&lt;=$M$5)),"-",C11&lt;=$M$13,$M$14+(C11-$M$12)*$M$15)</f>
        <v>-</v>
      </c>
      <c r="F11" s="16" t="str" cm="1">
        <f t="array" ref="F11">_xlfn.IFS(C11&lt;$M$36,"-",C11&lt;=$M$5,$M$18)</f>
        <v>-</v>
      </c>
      <c r="G11" s="16" t="str" cm="1">
        <f t="array" ref="G11">_xlfn.IFS(OR(C11&lt;$M$21,AND(C11&gt;$M$22,C11&lt;=$M$5)),"-",C11&lt;=$M$22,C11*$M$23)</f>
        <v>-</v>
      </c>
      <c r="H11" s="16" t="str" cm="1">
        <f t="array" ref="H11">_xlfn.IFS(OR(C11&lt;$M$36,AND(C11&lt;=$M$5,C11&gt;$M$37)),"-",ROUNDUP(C11&lt;=(($M$37+$M$36)/2),0),$M$26,C11&lt;=$M$37,$M$27)</f>
        <v>-</v>
      </c>
      <c r="I11" s="16" t="str" cm="1">
        <f t="array" ref="I11">_xlfn.IFS(OR(AND(C11&lt;=$M$5,C11&gt;$M$37),C11&lt;$M$36),"-",C11&lt;=$M$37,$M$30/($M$37-$M$36+1))</f>
        <v>-</v>
      </c>
      <c r="J11" s="16" t="str" cm="1">
        <f t="array" ref="J11">_xlfn.IFS(C11&lt;$M$36,"-",AND(ISEVEN($M$36),ISEVEN(C11),C11&lt;=$M$37),$M$33,AND(ISODD($M$36),ISODD(C11),C11&lt;=$M$37),$M$33,C11&lt;=$M$5,"-")</f>
        <v>-</v>
      </c>
      <c r="L11" s="10" t="s">
        <v>8</v>
      </c>
    </row>
    <row r="12" spans="3:14" x14ac:dyDescent="0.25">
      <c r="C12" s="4">
        <v>48</v>
      </c>
      <c r="D12" s="16" t="str" cm="1">
        <f t="array" ref="D12">_xlfn.IFS(OR(C12&lt;$M$36,AND(C12&gt;$M$37,C12&lt;=$M$5)),"-",C12&lt;=$M$36+(Annuity_Calc!$C$16),$M$9)</f>
        <v>-</v>
      </c>
      <c r="E12" s="16" t="str" cm="1">
        <f t="array" ref="E12">_xlfn.IFS(OR(C12&lt;$M$12,AND(C12&gt;$M$13,C12&lt;=$M$5)),"-",C12&lt;=$M$13,$M$14+(C12-$M$12)*$M$15)</f>
        <v>-</v>
      </c>
      <c r="F12" s="16" t="str" cm="1">
        <f t="array" ref="F12">_xlfn.IFS(C12&lt;$M$36,"-",C12&lt;=$M$5,$M$18)</f>
        <v>-</v>
      </c>
      <c r="G12" s="16" t="str" cm="1">
        <f t="array" ref="G12">_xlfn.IFS(OR(C12&lt;$M$21,AND(C12&gt;$M$22,C12&lt;=$M$5)),"-",C12&lt;=$M$22,C12*$M$23)</f>
        <v>-</v>
      </c>
      <c r="H12" s="16" t="str" cm="1">
        <f t="array" ref="H12">_xlfn.IFS(OR(C12&lt;$M$36,AND(C12&lt;=$M$5,C12&gt;$M$37)),"-",ROUNDUP(C12&lt;=(($M$37+$M$36)/2),0),$M$26,C12&lt;=$M$37,$M$27)</f>
        <v>-</v>
      </c>
      <c r="I12" s="16" t="str" cm="1">
        <f t="array" ref="I12">_xlfn.IFS(OR(AND(C12&lt;=$M$5,C12&gt;$M$37),C12&lt;$M$36),"-",C12&lt;=$M$37,$M$30/($M$37-$M$36+1))</f>
        <v>-</v>
      </c>
      <c r="J12" s="16" t="str" cm="1">
        <f t="array" ref="J12">_xlfn.IFS(C12&lt;$M$36,"-",AND(ISEVEN($M$36),ISEVEN(C12),C12&lt;=$M$37),$M$33,AND(ISODD($M$36),ISODD(C12),C12&lt;=$M$37),$M$33,C12&lt;=$M$5,"-")</f>
        <v>-</v>
      </c>
      <c r="L12" s="2" t="s">
        <v>6</v>
      </c>
      <c r="M12" s="1">
        <v>65</v>
      </c>
    </row>
    <row r="13" spans="3:14" x14ac:dyDescent="0.25">
      <c r="C13" s="4">
        <v>49</v>
      </c>
      <c r="D13" s="16" t="str" cm="1">
        <f t="array" ref="D13">_xlfn.IFS(OR(C13&lt;$M$36,AND(C13&gt;$M$37,C13&lt;=$M$5)),"-",C13&lt;=$M$36+(Annuity_Calc!$C$16),$M$9)</f>
        <v>-</v>
      </c>
      <c r="E13" s="16" t="str" cm="1">
        <f t="array" ref="E13">_xlfn.IFS(OR(C13&lt;$M$12,AND(C13&gt;$M$13,C13&lt;=$M$5)),"-",C13&lt;=$M$13,$M$14+(C13-$M$12)*$M$15)</f>
        <v>-</v>
      </c>
      <c r="F13" s="16" t="str" cm="1">
        <f t="array" ref="F13">_xlfn.IFS(C13&lt;$M$36,"-",C13&lt;=$M$5,$M$18)</f>
        <v>-</v>
      </c>
      <c r="G13" s="16" t="str" cm="1">
        <f t="array" ref="G13">_xlfn.IFS(OR(C13&lt;$M$21,AND(C13&gt;$M$22,C13&lt;=$M$5)),"-",C13&lt;=$M$22,C13*$M$23)</f>
        <v>-</v>
      </c>
      <c r="H13" s="16" t="str" cm="1">
        <f t="array" ref="H13">_xlfn.IFS(OR(C13&lt;$M$36,AND(C13&lt;=$M$5,C13&gt;$M$37)),"-",ROUNDUP(C13&lt;=(($M$37+$M$36)/2),0),$M$26,C13&lt;=$M$37,$M$27)</f>
        <v>-</v>
      </c>
      <c r="I13" s="16" t="str" cm="1">
        <f t="array" ref="I13">_xlfn.IFS(OR(AND(C13&lt;=$M$5,C13&gt;$M$37),C13&lt;$M$36),"-",C13&lt;=$M$37,$M$30/($M$37-$M$36+1))</f>
        <v>-</v>
      </c>
      <c r="J13" s="16" t="str" cm="1">
        <f t="array" ref="J13">_xlfn.IFS(C13&lt;$M$36,"-",AND(ISEVEN($M$36),ISEVEN(C13),C13&lt;=$M$37),$M$33,AND(ISODD($M$36),ISODD(C13),C13&lt;=$M$37),$M$33,C13&lt;=$M$5,"-")</f>
        <v>-</v>
      </c>
      <c r="L13" s="2" t="s">
        <v>9</v>
      </c>
      <c r="M13" s="1">
        <v>94</v>
      </c>
    </row>
    <row r="14" spans="3:14" x14ac:dyDescent="0.25">
      <c r="C14" s="4">
        <v>50</v>
      </c>
      <c r="D14" s="16" t="str" cm="1">
        <f t="array" ref="D14">_xlfn.IFS(OR(C14&lt;$M$36,AND(C14&gt;$M$37,C14&lt;=$M$5)),"-",C14&lt;=$M$36+(Annuity_Calc!$C$16),$M$9)</f>
        <v>-</v>
      </c>
      <c r="E14" s="16" t="str" cm="1">
        <f t="array" ref="E14">_xlfn.IFS(OR(C14&lt;$M$12,AND(C14&gt;$M$13,C14&lt;=$M$5)),"-",C14&lt;=$M$13,$M$14+(C14-$M$12)*$M$15)</f>
        <v>-</v>
      </c>
      <c r="F14" s="16" t="str" cm="1">
        <f t="array" ref="F14">_xlfn.IFS(C14&lt;$M$36,"-",C14&lt;=$M$5,$M$18)</f>
        <v>-</v>
      </c>
      <c r="G14" s="16" t="str" cm="1">
        <f t="array" ref="G14">_xlfn.IFS(OR(C14&lt;$M$21,AND(C14&gt;$M$22,C14&lt;=$M$5)),"-",C14&lt;=$M$22,C14*$M$23)</f>
        <v>-</v>
      </c>
      <c r="H14" s="16" t="str" cm="1">
        <f t="array" ref="H14">_xlfn.IFS(OR(C14&lt;$M$36,AND(C14&lt;=$M$5,C14&gt;$M$37)),"-",ROUNDUP(C14&lt;=(($M$37+$M$36)/2),0),$M$26,C14&lt;=$M$37,$M$27)</f>
        <v>-</v>
      </c>
      <c r="I14" s="16" t="str" cm="1">
        <f t="array" ref="I14">_xlfn.IFS(OR(AND(C14&lt;=$M$5,C14&gt;$M$37),C14&lt;$M$36),"-",C14&lt;=$M$37,$M$30/($M$37-$M$36+1))</f>
        <v>-</v>
      </c>
      <c r="J14" s="16" t="str" cm="1">
        <f t="array" ref="J14">_xlfn.IFS(C14&lt;$M$36,"-",AND(ISEVEN($M$36),ISEVEN(C14),C14&lt;=$M$37),$M$33,AND(ISODD($M$36),ISODD(C14),C14&lt;=$M$37),$M$33,C14&lt;=$M$5,"-")</f>
        <v>-</v>
      </c>
      <c r="L14" s="2" t="s">
        <v>134</v>
      </c>
      <c r="M14" s="9">
        <v>25000</v>
      </c>
    </row>
    <row r="15" spans="3:14" x14ac:dyDescent="0.25">
      <c r="C15" s="4">
        <v>51</v>
      </c>
      <c r="D15" s="16" t="str" cm="1">
        <f t="array" ref="D15">_xlfn.IFS(OR(C15&lt;$M$36,AND(C15&gt;$M$37,C15&lt;=$M$5)),"-",C15&lt;=$M$36+(Annuity_Calc!$C$16),$M$9)</f>
        <v>-</v>
      </c>
      <c r="E15" s="16" t="str" cm="1">
        <f t="array" ref="E15">_xlfn.IFS(OR(C15&lt;$M$12,AND(C15&gt;$M$13,C15&lt;=$M$5)),"-",C15&lt;=$M$13,$M$14+(C15-$M$12)*$M$15)</f>
        <v>-</v>
      </c>
      <c r="F15" s="16" t="str" cm="1">
        <f t="array" ref="F15">_xlfn.IFS(C15&lt;$M$36,"-",C15&lt;=$M$5,$M$18)</f>
        <v>-</v>
      </c>
      <c r="G15" s="16" t="str" cm="1">
        <f t="array" ref="G15">_xlfn.IFS(OR(C15&lt;$M$21,AND(C15&gt;$M$22,C15&lt;=$M$5)),"-",C15&lt;=$M$22,C15*$M$23)</f>
        <v>-</v>
      </c>
      <c r="H15" s="16" t="str" cm="1">
        <f t="array" ref="H15">_xlfn.IFS(OR(C15&lt;$M$36,AND(C15&lt;=$M$5,C15&gt;$M$37)),"-",ROUNDUP(C15&lt;=(($M$37+$M$36)/2),0),$M$26,C15&lt;=$M$37,$M$27)</f>
        <v>-</v>
      </c>
      <c r="I15" s="16" t="str" cm="1">
        <f t="array" ref="I15">_xlfn.IFS(OR(AND(C15&lt;=$M$5,C15&gt;$M$37),C15&lt;$M$36),"-",C15&lt;=$M$37,$M$30/($M$37-$M$36+1))</f>
        <v>-</v>
      </c>
      <c r="J15" s="16" t="str" cm="1">
        <f t="array" ref="J15">_xlfn.IFS(C15&lt;$M$36,"-",AND(ISEVEN($M$36),ISEVEN(C15),C15&lt;=$M$37),$M$33,AND(ISODD($M$36),ISODD(C15),C15&lt;=$M$37),$M$33,C15&lt;=$M$5,"-")</f>
        <v>-</v>
      </c>
      <c r="L15" s="2" t="s">
        <v>135</v>
      </c>
      <c r="M15" s="9">
        <v>1000</v>
      </c>
    </row>
    <row r="16" spans="3:14" x14ac:dyDescent="0.25">
      <c r="C16" s="4">
        <v>52</v>
      </c>
      <c r="D16" s="16" t="str" cm="1">
        <f t="array" ref="D16">_xlfn.IFS(OR(C16&lt;$M$36,AND(C16&gt;$M$37,C16&lt;=$M$5)),"-",C16&lt;=$M$36+(Annuity_Calc!$C$16),$M$9)</f>
        <v>-</v>
      </c>
      <c r="E16" s="16" t="str" cm="1">
        <f t="array" ref="E16">_xlfn.IFS(OR(C16&lt;$M$12,AND(C16&gt;$M$13,C16&lt;=$M$5)),"-",C16&lt;=$M$13,$M$14+(C16-$M$12)*$M$15)</f>
        <v>-</v>
      </c>
      <c r="F16" s="16" t="str" cm="1">
        <f t="array" ref="F16">_xlfn.IFS(C16&lt;$M$36,"-",C16&lt;=$M$5,$M$18)</f>
        <v>-</v>
      </c>
      <c r="G16" s="16" t="str" cm="1">
        <f t="array" ref="G16">_xlfn.IFS(OR(C16&lt;$M$21,AND(C16&gt;$M$22,C16&lt;=$M$5)),"-",C16&lt;=$M$22,C16*$M$23)</f>
        <v>-</v>
      </c>
      <c r="H16" s="16" t="str" cm="1">
        <f t="array" ref="H16">_xlfn.IFS(OR(C16&lt;$M$36,AND(C16&lt;=$M$5,C16&gt;$M$37)),"-",ROUNDUP(C16&lt;=(($M$37+$M$36)/2),0),$M$26,C16&lt;=$M$37,$M$27)</f>
        <v>-</v>
      </c>
      <c r="I16" s="16" t="str" cm="1">
        <f t="array" ref="I16">_xlfn.IFS(OR(AND(C16&lt;=$M$5,C16&gt;$M$37),C16&lt;$M$36),"-",C16&lt;=$M$37,$M$30/($M$37-$M$36+1))</f>
        <v>-</v>
      </c>
      <c r="J16" s="16" t="str" cm="1">
        <f t="array" ref="J16">_xlfn.IFS(C16&lt;$M$36,"-",AND(ISEVEN($M$36),ISEVEN(C16),C16&lt;=$M$37),$M$33,AND(ISODD($M$36),ISODD(C16),C16&lt;=$M$37),$M$33,C16&lt;=$M$5,"-")</f>
        <v>-</v>
      </c>
    </row>
    <row r="17" spans="3:13" x14ac:dyDescent="0.25">
      <c r="C17" s="4">
        <v>53</v>
      </c>
      <c r="D17" s="16" t="str" cm="1">
        <f t="array" ref="D17">_xlfn.IFS(OR(C17&lt;$M$36,AND(C17&gt;$M$37,C17&lt;=$M$5)),"-",C17&lt;=$M$36+(Annuity_Calc!$C$16),$M$9)</f>
        <v>-</v>
      </c>
      <c r="E17" s="16" t="str" cm="1">
        <f t="array" ref="E17">_xlfn.IFS(OR(C17&lt;$M$12,AND(C17&gt;$M$13,C17&lt;=$M$5)),"-",C17&lt;=$M$13,$M$14+(C17-$M$12)*$M$15)</f>
        <v>-</v>
      </c>
      <c r="F17" s="16" t="str" cm="1">
        <f t="array" ref="F17">_xlfn.IFS(C17&lt;$M$36,"-",C17&lt;=$M$5,$M$18)</f>
        <v>-</v>
      </c>
      <c r="G17" s="16" t="str" cm="1">
        <f t="array" ref="G17">_xlfn.IFS(OR(C17&lt;$M$21,AND(C17&gt;$M$22,C17&lt;=$M$5)),"-",C17&lt;=$M$22,C17*$M$23)</f>
        <v>-</v>
      </c>
      <c r="H17" s="16" t="str" cm="1">
        <f t="array" ref="H17">_xlfn.IFS(OR(C17&lt;$M$36,AND(C17&lt;=$M$5,C17&gt;$M$37)),"-",ROUNDUP(C17&lt;=(($M$37+$M$36)/2),0),$M$26,C17&lt;=$M$37,$M$27)</f>
        <v>-</v>
      </c>
      <c r="I17" s="16" t="str" cm="1">
        <f t="array" ref="I17">_xlfn.IFS(OR(AND(C17&lt;=$M$5,C17&gt;$M$37),C17&lt;$M$36),"-",C17&lt;=$M$37,$M$30/($M$37-$M$36+1))</f>
        <v>-</v>
      </c>
      <c r="J17" s="16" t="str" cm="1">
        <f t="array" ref="J17">_xlfn.IFS(C17&lt;$M$36,"-",AND(ISEVEN($M$36),ISEVEN(C17),C17&lt;=$M$37),$M$33,AND(ISODD($M$36),ISODD(C17),C17&lt;=$M$37),$M$33,C17&lt;=$M$5,"-")</f>
        <v>-</v>
      </c>
      <c r="L17" s="10" t="s">
        <v>2</v>
      </c>
    </row>
    <row r="18" spans="3:13" x14ac:dyDescent="0.25">
      <c r="C18" s="4">
        <v>54</v>
      </c>
      <c r="D18" s="16" t="str" cm="1">
        <f t="array" ref="D18">_xlfn.IFS(OR(C18&lt;$M$36,AND(C18&gt;$M$37,C18&lt;=$M$5)),"-",C18&lt;=$M$36+(Annuity_Calc!$C$16),$M$9)</f>
        <v>-</v>
      </c>
      <c r="E18" s="16" t="str" cm="1">
        <f t="array" ref="E18">_xlfn.IFS(OR(C18&lt;$M$12,AND(C18&gt;$M$13,C18&lt;=$M$5)),"-",C18&lt;=$M$13,$M$14+(C18-$M$12)*$M$15)</f>
        <v>-</v>
      </c>
      <c r="F18" s="16" t="str" cm="1">
        <f t="array" ref="F18">_xlfn.IFS(C18&lt;$M$36,"-",C18&lt;=$M$5,$M$18)</f>
        <v>-</v>
      </c>
      <c r="G18" s="16" t="str" cm="1">
        <f t="array" ref="G18">_xlfn.IFS(OR(C18&lt;$M$21,AND(C18&gt;$M$22,C18&lt;=$M$5)),"-",C18&lt;=$M$22,C18*$M$23)</f>
        <v>-</v>
      </c>
      <c r="H18" s="16" t="str" cm="1">
        <f t="array" ref="H18">_xlfn.IFS(OR(C18&lt;$M$36,AND(C18&lt;=$M$5,C18&gt;$M$37)),"-",ROUNDUP(C18&lt;=(($M$37+$M$36)/2),0),$M$26,C18&lt;=$M$37,$M$27)</f>
        <v>-</v>
      </c>
      <c r="I18" s="16" t="str" cm="1">
        <f t="array" ref="I18">_xlfn.IFS(OR(AND(C18&lt;=$M$5,C18&gt;$M$37),C18&lt;$M$36),"-",C18&lt;=$M$37,$M$30/($M$37-$M$36+1))</f>
        <v>-</v>
      </c>
      <c r="J18" s="16" t="str" cm="1">
        <f t="array" ref="J18">_xlfn.IFS(C18&lt;$M$36,"-",AND(ISEVEN($M$36),ISEVEN(C18),C18&lt;=$M$37),$M$33,AND(ISODD($M$36),ISODD(C18),C18&lt;=$M$37),$M$33,C18&lt;=$M$5,"-")</f>
        <v>-</v>
      </c>
      <c r="L18" s="2" t="s">
        <v>10</v>
      </c>
      <c r="M18" s="9">
        <v>7200</v>
      </c>
    </row>
    <row r="19" spans="3:13" x14ac:dyDescent="0.25">
      <c r="C19" s="4">
        <v>55</v>
      </c>
      <c r="D19" s="16" t="str" cm="1">
        <f t="array" ref="D19">_xlfn.IFS(OR(C19&lt;$M$36,AND(C19&gt;$M$37,C19&lt;=$M$5)),"-",C19&lt;=$M$36+(Annuity_Calc!$C$16),$M$9)</f>
        <v>-</v>
      </c>
      <c r="E19" s="16" t="str" cm="1">
        <f t="array" ref="E19">_xlfn.IFS(OR(C19&lt;$M$12,AND(C19&gt;$M$13,C19&lt;=$M$5)),"-",C19&lt;=$M$13,$M$14+(C19-$M$12)*$M$15)</f>
        <v>-</v>
      </c>
      <c r="F19" s="16" t="str" cm="1">
        <f t="array" ref="F19">_xlfn.IFS(C19&lt;$M$36,"-",C19&lt;=$M$5,$M$18)</f>
        <v>-</v>
      </c>
      <c r="G19" s="16" t="str" cm="1">
        <f t="array" ref="G19">_xlfn.IFS(OR(C19&lt;$M$21,AND(C19&gt;$M$22,C19&lt;=$M$5)),"-",C19&lt;=$M$22,C19*$M$23)</f>
        <v>-</v>
      </c>
      <c r="H19" s="16" t="str" cm="1">
        <f t="array" ref="H19">_xlfn.IFS(OR(C19&lt;$M$36,AND(C19&lt;=$M$5,C19&gt;$M$37)),"-",ROUNDUP(C19&lt;=(($M$37+$M$36)/2),0),$M$26,C19&lt;=$M$37,$M$27)</f>
        <v>-</v>
      </c>
      <c r="I19" s="16" t="str" cm="1">
        <f t="array" ref="I19">_xlfn.IFS(OR(AND(C19&lt;=$M$5,C19&gt;$M$37),C19&lt;$M$36),"-",C19&lt;=$M$37,$M$30/($M$37-$M$36+1))</f>
        <v>-</v>
      </c>
      <c r="J19" s="16" t="str" cm="1">
        <f t="array" ref="J19">_xlfn.IFS(C19&lt;$M$36,"-",AND(ISEVEN($M$36),ISEVEN(C19),C19&lt;=$M$37),$M$33,AND(ISODD($M$36),ISODD(C19),C19&lt;=$M$37),$M$33,C19&lt;=$M$5,"-")</f>
        <v>-</v>
      </c>
    </row>
    <row r="20" spans="3:13" x14ac:dyDescent="0.25">
      <c r="C20" s="4">
        <v>56</v>
      </c>
      <c r="D20" s="16" t="str" cm="1">
        <f t="array" ref="D20">_xlfn.IFS(OR(C20&lt;$M$36,AND(C20&gt;$M$37,C20&lt;=$M$5)),"-",C20&lt;=$M$36+(Annuity_Calc!$C$16),$M$9)</f>
        <v>-</v>
      </c>
      <c r="E20" s="16" t="str" cm="1">
        <f t="array" ref="E20">_xlfn.IFS(OR(C20&lt;$M$12,AND(C20&gt;$M$13,C20&lt;=$M$5)),"-",C20&lt;=$M$13,$M$14+(C20-$M$12)*$M$15)</f>
        <v>-</v>
      </c>
      <c r="F20" s="16" t="str" cm="1">
        <f t="array" ref="F20">_xlfn.IFS(C20&lt;$M$36,"-",C20&lt;=$M$5,$M$18)</f>
        <v>-</v>
      </c>
      <c r="G20" s="16" t="str" cm="1">
        <f t="array" ref="G20">_xlfn.IFS(OR(C20&lt;$M$21,AND(C20&gt;$M$22,C20&lt;=$M$5)),"-",C20&lt;=$M$22,C20*$M$23)</f>
        <v>-</v>
      </c>
      <c r="H20" s="16" t="str" cm="1">
        <f t="array" ref="H20">_xlfn.IFS(OR(C20&lt;$M$36,AND(C20&lt;=$M$5,C20&gt;$M$37)),"-",ROUNDUP(C20&lt;=(($M$37+$M$36)/2),0),$M$26,C20&lt;=$M$37,$M$27)</f>
        <v>-</v>
      </c>
      <c r="I20" s="16" t="str" cm="1">
        <f t="array" ref="I20">_xlfn.IFS(OR(AND(C20&lt;=$M$5,C20&gt;$M$37),C20&lt;$M$36),"-",C20&lt;=$M$37,$M$30/($M$37-$M$36+1))</f>
        <v>-</v>
      </c>
      <c r="J20" s="16" t="str" cm="1">
        <f t="array" ref="J20">_xlfn.IFS(C20&lt;$M$36,"-",AND(ISEVEN($M$36),ISEVEN(C20),C20&lt;=$M$37),$M$33,AND(ISODD($M$36),ISODD(C20),C20&lt;=$M$37),$M$33,C20&lt;=$M$5,"-")</f>
        <v>-</v>
      </c>
      <c r="L20" s="10" t="s">
        <v>11</v>
      </c>
    </row>
    <row r="21" spans="3:13" x14ac:dyDescent="0.25">
      <c r="C21" s="4">
        <v>57</v>
      </c>
      <c r="D21" s="16" t="str" cm="1">
        <f t="array" ref="D21">_xlfn.IFS(OR(C21&lt;$M$36,AND(C21&gt;$M$37,C21&lt;=$M$5)),"-",C21&lt;=$M$36+(Annuity_Calc!$C$16),$M$9)</f>
        <v>-</v>
      </c>
      <c r="E21" s="16" t="str" cm="1">
        <f t="array" ref="E21">_xlfn.IFS(OR(C21&lt;$M$12,AND(C21&gt;$M$13,C21&lt;=$M$5)),"-",C21&lt;=$M$13,$M$14+(C21-$M$12)*$M$15)</f>
        <v>-</v>
      </c>
      <c r="F21" s="16" t="str" cm="1">
        <f t="array" ref="F21">_xlfn.IFS(C21&lt;$M$36,"-",C21&lt;=$M$5,$M$18)</f>
        <v>-</v>
      </c>
      <c r="G21" s="16" t="str" cm="1">
        <f t="array" ref="G21">_xlfn.IFS(OR(C21&lt;$M$21,AND(C21&gt;$M$22,C21&lt;=$M$5)),"-",C21&lt;=$M$22,C21*$M$23)</f>
        <v>-</v>
      </c>
      <c r="H21" s="16" t="str" cm="1">
        <f t="array" ref="H21">_xlfn.IFS(OR(C21&lt;$M$36,AND(C21&lt;=$M$5,C21&gt;$M$37)),"-",ROUNDUP(C21&lt;=(($M$37+$M$36)/2),0),$M$26,C21&lt;=$M$37,$M$27)</f>
        <v>-</v>
      </c>
      <c r="I21" s="16" t="str" cm="1">
        <f t="array" ref="I21">_xlfn.IFS(OR(AND(C21&lt;=$M$5,C21&gt;$M$37),C21&lt;$M$36),"-",C21&lt;=$M$37,$M$30/($M$37-$M$36+1))</f>
        <v>-</v>
      </c>
      <c r="J21" s="16" t="str" cm="1">
        <f t="array" ref="J21">_xlfn.IFS(C21&lt;$M$36,"-",AND(ISEVEN($M$36),ISEVEN(C21),C21&lt;=$M$37),$M$33,AND(ISODD($M$36),ISODD(C21),C21&lt;=$M$37),$M$33,C21&lt;=$M$5,"-")</f>
        <v>-</v>
      </c>
      <c r="L21" s="2" t="s">
        <v>6</v>
      </c>
      <c r="M21" s="1">
        <v>60</v>
      </c>
    </row>
    <row r="22" spans="3:13" x14ac:dyDescent="0.25">
      <c r="C22" s="4">
        <v>58</v>
      </c>
      <c r="D22" s="16" t="str" cm="1">
        <f t="array" ref="D22">_xlfn.IFS(OR(C22&lt;$M$36,AND(C22&gt;$M$37,C22&lt;=$M$5)),"-",C22&lt;=$M$36+(Annuity_Calc!$C$16),$M$9)</f>
        <v>-</v>
      </c>
      <c r="E22" s="16" t="str" cm="1">
        <f t="array" ref="E22">_xlfn.IFS(OR(C22&lt;$M$12,AND(C22&gt;$M$13,C22&lt;=$M$5)),"-",C22&lt;=$M$13,$M$14+(C22-$M$12)*$M$15)</f>
        <v>-</v>
      </c>
      <c r="F22" s="16" t="str" cm="1">
        <f t="array" ref="F22">_xlfn.IFS(C22&lt;$M$36,"-",C22&lt;=$M$5,$M$18)</f>
        <v>-</v>
      </c>
      <c r="G22" s="16" t="str" cm="1">
        <f t="array" ref="G22">_xlfn.IFS(OR(C22&lt;$M$21,AND(C22&gt;$M$22,C22&lt;=$M$5)),"-",C22&lt;=$M$22,C22*$M$23)</f>
        <v>-</v>
      </c>
      <c r="H22" s="16" t="str" cm="1">
        <f t="array" ref="H22">_xlfn.IFS(OR(C22&lt;$M$36,AND(C22&lt;=$M$5,C22&gt;$M$37)),"-",ROUNDUP(C22&lt;=(($M$37+$M$36)/2),0),$M$26,C22&lt;=$M$37,$M$27)</f>
        <v>-</v>
      </c>
      <c r="I22" s="16" t="str" cm="1">
        <f t="array" ref="I22">_xlfn.IFS(OR(AND(C22&lt;=$M$5,C22&gt;$M$37),C22&lt;$M$36),"-",C22&lt;=$M$37,$M$30/($M$37-$M$36+1))</f>
        <v>-</v>
      </c>
      <c r="J22" s="16" t="str" cm="1">
        <f t="array" ref="J22">_xlfn.IFS(C22&lt;$M$36,"-",AND(ISEVEN($M$36),ISEVEN(C22),C22&lt;=$M$37),$M$33,AND(ISODD($M$36),ISODD(C22),C22&lt;=$M$37),$M$33,C22&lt;=$M$5,"-")</f>
        <v>-</v>
      </c>
      <c r="L22" s="2" t="s">
        <v>9</v>
      </c>
      <c r="M22" s="1">
        <v>100</v>
      </c>
    </row>
    <row r="23" spans="3:13" x14ac:dyDescent="0.25">
      <c r="C23" s="4">
        <v>59</v>
      </c>
      <c r="D23" s="16" t="str" cm="1">
        <f t="array" ref="D23">_xlfn.IFS(OR(C23&lt;$M$36,AND(C23&gt;$M$37,C23&lt;=$M$5)),"-",C23&lt;=$M$36+(Annuity_Calc!$C$16),$M$9)</f>
        <v>-</v>
      </c>
      <c r="E23" s="16" t="str" cm="1">
        <f t="array" ref="E23">_xlfn.IFS(OR(C23&lt;$M$12,AND(C23&gt;$M$13,C23&lt;=$M$5)),"-",C23&lt;=$M$13,$M$14+(C23-$M$12)*$M$15)</f>
        <v>-</v>
      </c>
      <c r="F23" s="16" t="str" cm="1">
        <f t="array" ref="F23">_xlfn.IFS(C23&lt;$M$36,"-",C23&lt;=$M$5,$M$18)</f>
        <v>-</v>
      </c>
      <c r="G23" s="16" t="str" cm="1">
        <f t="array" ref="G23">_xlfn.IFS(OR(C23&lt;$M$21,AND(C23&gt;$M$22,C23&lt;=$M$5)),"-",C23&lt;=$M$22,C23*$M$23)</f>
        <v>-</v>
      </c>
      <c r="H23" s="16" t="str" cm="1">
        <f t="array" ref="H23">_xlfn.IFS(OR(C23&lt;$M$36,AND(C23&lt;=$M$5,C23&gt;$M$37)),"-",ROUNDUP(C23&lt;=(($M$37+$M$36)/2),0),$M$26,C23&lt;=$M$37,$M$27)</f>
        <v>-</v>
      </c>
      <c r="I23" s="16" t="str" cm="1">
        <f t="array" ref="I23">_xlfn.IFS(OR(AND(C23&lt;=$M$5,C23&gt;$M$37),C23&lt;$M$36),"-",C23&lt;=$M$37,$M$30/($M$37-$M$36+1))</f>
        <v>-</v>
      </c>
      <c r="J23" s="16" t="str" cm="1">
        <f t="array" ref="J23">_xlfn.IFS(C23&lt;$M$36,"-",AND(ISEVEN($M$36),ISEVEN(C23),C23&lt;=$M$37),$M$33,AND(ISODD($M$36),ISODD(C23),C23&lt;=$M$37),$M$33,C23&lt;=$M$5,"-")</f>
        <v>-</v>
      </c>
      <c r="L23" s="2" t="s">
        <v>10</v>
      </c>
      <c r="M23" s="9">
        <v>1000</v>
      </c>
    </row>
    <row r="24" spans="3:13" x14ac:dyDescent="0.25">
      <c r="C24" s="4">
        <v>60</v>
      </c>
      <c r="D24" s="16" t="str" cm="1">
        <f t="array" ref="D24">_xlfn.IFS(OR(C24&lt;$M$36,AND(C24&gt;$M$37,C24&lt;=$M$5)),"-",C24&lt;=$M$36+(Annuity_Calc!$C$16),$M$9)</f>
        <v>-</v>
      </c>
      <c r="E24" s="16" t="str" cm="1">
        <f t="array" ref="E24">_xlfn.IFS(OR(C24&lt;$M$12,AND(C24&gt;$M$13,C24&lt;=$M$5)),"-",C24&lt;=$M$13,$M$14+(C24-$M$12)*$M$15)</f>
        <v>-</v>
      </c>
      <c r="F24" s="16" t="str" cm="1">
        <f t="array" ref="F24">_xlfn.IFS(C24&lt;$M$36,"-",C24&lt;=$M$5,$M$18)</f>
        <v>-</v>
      </c>
      <c r="G24" s="16" cm="1">
        <f t="array" ref="G24">_xlfn.IFS(OR(C24&lt;$M$21,AND(C24&gt;$M$22,C24&lt;=$M$5)),"-",C24&lt;=$M$22,C24*$M$23)</f>
        <v>60000</v>
      </c>
      <c r="H24" s="16" t="str" cm="1">
        <f t="array" ref="H24">_xlfn.IFS(OR(C24&lt;$M$36,AND(C24&lt;=$M$5,C24&gt;$M$37)),"-",ROUNDUP(C24&lt;=(($M$37+$M$36)/2),0),$M$26,C24&lt;=$M$37,$M$27)</f>
        <v>-</v>
      </c>
      <c r="I24" s="16" t="str" cm="1">
        <f t="array" ref="I24">_xlfn.IFS(OR(AND(C24&lt;=$M$5,C24&gt;$M$37),C24&lt;$M$36),"-",C24&lt;=$M$37,$M$30/($M$37-$M$36+1))</f>
        <v>-</v>
      </c>
      <c r="J24" s="16" t="str" cm="1">
        <f t="array" ref="J24">_xlfn.IFS(C24&lt;$M$36,"-",AND(ISEVEN($M$36),ISEVEN(C24),C24&lt;=$M$37),$M$33,AND(ISODD($M$36),ISODD(C24),C24&lt;=$M$37),$M$33,C24&lt;=$M$5,"-")</f>
        <v>-</v>
      </c>
    </row>
    <row r="25" spans="3:13" x14ac:dyDescent="0.25">
      <c r="C25" s="4">
        <v>61</v>
      </c>
      <c r="D25" s="16" t="str" cm="1">
        <f t="array" ref="D25">_xlfn.IFS(OR(C25&lt;$M$36,AND(C25&gt;$M$37,C25&lt;=$M$5)),"-",C25&lt;=$M$36+(Annuity_Calc!$C$16),$M$9)</f>
        <v>-</v>
      </c>
      <c r="E25" s="16" t="str" cm="1">
        <f t="array" ref="E25">_xlfn.IFS(OR(C25&lt;$M$12,AND(C25&gt;$M$13,C25&lt;=$M$5)),"-",C25&lt;=$M$13,$M$14+(C25-$M$12)*$M$15)</f>
        <v>-</v>
      </c>
      <c r="F25" s="16" t="str" cm="1">
        <f t="array" ref="F25">_xlfn.IFS(C25&lt;$M$36,"-",C25&lt;=$M$5,$M$18)</f>
        <v>-</v>
      </c>
      <c r="G25" s="16" cm="1">
        <f t="array" ref="G25">_xlfn.IFS(OR(C25&lt;$M$21,AND(C25&gt;$M$22,C25&lt;=$M$5)),"-",C25&lt;=$M$22,C25*$M$23)</f>
        <v>61000</v>
      </c>
      <c r="H25" s="16" t="str" cm="1">
        <f t="array" ref="H25">_xlfn.IFS(OR(C25&lt;$M$36,AND(C25&lt;=$M$5,C25&gt;$M$37)),"-",ROUNDUP(C25&lt;=(($M$37+$M$36)/2),0),$M$26,C25&lt;=$M$37,$M$27)</f>
        <v>-</v>
      </c>
      <c r="I25" s="16" t="str" cm="1">
        <f t="array" ref="I25">_xlfn.IFS(OR(AND(C25&lt;=$M$5,C25&gt;$M$37),C25&lt;$M$36),"-",C25&lt;=$M$37,$M$30/($M$37-$M$36+1))</f>
        <v>-</v>
      </c>
      <c r="J25" s="16" t="str" cm="1">
        <f t="array" ref="J25">_xlfn.IFS(C25&lt;$M$36,"-",AND(ISEVEN($M$36),ISEVEN(C25),C25&lt;=$M$37),$M$33,AND(ISODD($M$36),ISODD(C25),C25&lt;=$M$37),$M$33,C25&lt;=$M$5,"-")</f>
        <v>-</v>
      </c>
      <c r="L25" s="10" t="s">
        <v>3</v>
      </c>
    </row>
    <row r="26" spans="3:13" x14ac:dyDescent="0.25">
      <c r="C26" s="4">
        <v>62</v>
      </c>
      <c r="D26" s="16" t="str" cm="1">
        <f t="array" ref="D26">_xlfn.IFS(OR(C26&lt;$M$36,AND(C26&gt;$M$37,C26&lt;=$M$5)),"-",C26&lt;=$M$36+(Annuity_Calc!$C$16),$M$9)</f>
        <v>-</v>
      </c>
      <c r="E26" s="16" t="str" cm="1">
        <f t="array" ref="E26">_xlfn.IFS(OR(C26&lt;$M$12,AND(C26&gt;$M$13,C26&lt;=$M$5)),"-",C26&lt;=$M$13,$M$14+(C26-$M$12)*$M$15)</f>
        <v>-</v>
      </c>
      <c r="F26" s="16" t="str" cm="1">
        <f t="array" ref="F26">_xlfn.IFS(C26&lt;$M$36,"-",C26&lt;=$M$5,$M$18)</f>
        <v>-</v>
      </c>
      <c r="G26" s="16" cm="1">
        <f t="array" ref="G26">_xlfn.IFS(OR(C26&lt;$M$21,AND(C26&gt;$M$22,C26&lt;=$M$5)),"-",C26&lt;=$M$22,C26*$M$23)</f>
        <v>62000</v>
      </c>
      <c r="H26" s="16" t="str" cm="1">
        <f t="array" ref="H26">_xlfn.IFS(OR(C26&lt;$M$36,AND(C26&lt;=$M$5,C26&gt;$M$37)),"-",ROUNDUP(C26&lt;=(($M$37+$M$36)/2),0),$M$26,C26&lt;=$M$37,$M$27)</f>
        <v>-</v>
      </c>
      <c r="I26" s="16" t="str" cm="1">
        <f t="array" ref="I26">_xlfn.IFS(OR(AND(C26&lt;=$M$5,C26&gt;$M$37),C26&lt;$M$36),"-",C26&lt;=$M$37,$M$30/($M$37-$M$36+1))</f>
        <v>-</v>
      </c>
      <c r="J26" s="16" t="str" cm="1">
        <f t="array" ref="J26">_xlfn.IFS(C26&lt;$M$36,"-",AND(ISEVEN($M$36),ISEVEN(C26),C26&lt;=$M$37),$M$33,AND(ISODD($M$36),ISODD(C26),C26&lt;=$M$37),$M$33,C26&lt;=$M$5,"-")</f>
        <v>-</v>
      </c>
      <c r="L26" s="2" t="s">
        <v>12</v>
      </c>
      <c r="M26" s="9">
        <v>19000</v>
      </c>
    </row>
    <row r="27" spans="3:13" x14ac:dyDescent="0.25">
      <c r="C27" s="4">
        <v>63</v>
      </c>
      <c r="D27" s="16" t="str" cm="1">
        <f t="array" ref="D27">_xlfn.IFS(OR(C27&lt;$M$36,AND(C27&gt;$M$37,C27&lt;=$M$5)),"-",C27&lt;=$M$36+(Annuity_Calc!$C$16),$M$9)</f>
        <v>-</v>
      </c>
      <c r="E27" s="16" t="str" cm="1">
        <f t="array" ref="E27">_xlfn.IFS(OR(C27&lt;$M$12,AND(C27&gt;$M$13,C27&lt;=$M$5)),"-",C27&lt;=$M$13,$M$14+(C27-$M$12)*$M$15)</f>
        <v>-</v>
      </c>
      <c r="F27" s="16" t="str" cm="1">
        <f t="array" ref="F27">_xlfn.IFS(C27&lt;$M$36,"-",C27&lt;=$M$5,$M$18)</f>
        <v>-</v>
      </c>
      <c r="G27" s="16" cm="1">
        <f t="array" ref="G27">_xlfn.IFS(OR(C27&lt;$M$21,AND(C27&gt;$M$22,C27&lt;=$M$5)),"-",C27&lt;=$M$22,C27*$M$23)</f>
        <v>63000</v>
      </c>
      <c r="H27" s="16" t="str" cm="1">
        <f t="array" ref="H27">_xlfn.IFS(OR(C27&lt;$M$36,AND(C27&lt;=$M$5,C27&gt;$M$37)),"-",ROUNDUP(C27&lt;=(($M$37+$M$36)/2),0),$M$26,C27&lt;=$M$37,$M$27)</f>
        <v>-</v>
      </c>
      <c r="I27" s="16" t="str" cm="1">
        <f t="array" ref="I27">_xlfn.IFS(OR(AND(C27&lt;=$M$5,C27&gt;$M$37),C27&lt;$M$36),"-",C27&lt;=$M$37,$M$30/($M$37-$M$36+1))</f>
        <v>-</v>
      </c>
      <c r="J27" s="16" t="str" cm="1">
        <f t="array" ref="J27">_xlfn.IFS(C27&lt;$M$36,"-",AND(ISEVEN($M$36),ISEVEN(C27),C27&lt;=$M$37),$M$33,AND(ISODD($M$36),ISODD(C27),C27&lt;=$M$37),$M$33,C27&lt;=$M$5,"-")</f>
        <v>-</v>
      </c>
      <c r="L27" s="2" t="s">
        <v>13</v>
      </c>
      <c r="M27" s="9">
        <v>25000</v>
      </c>
    </row>
    <row r="28" spans="3:13" x14ac:dyDescent="0.25">
      <c r="C28" s="4">
        <v>64</v>
      </c>
      <c r="D28" s="16" t="str" cm="1">
        <f t="array" ref="D28">_xlfn.IFS(OR(C28&lt;$M$36,AND(C28&gt;$M$37,C28&lt;=$M$5)),"-",C28&lt;=$M$36+(Annuity_Calc!$C$16),$M$9)</f>
        <v>-</v>
      </c>
      <c r="E28" s="16" t="str" cm="1">
        <f t="array" ref="E28">_xlfn.IFS(OR(C28&lt;$M$12,AND(C28&gt;$M$13,C28&lt;=$M$5)),"-",C28&lt;=$M$13,$M$14+(C28-$M$12)*$M$15)</f>
        <v>-</v>
      </c>
      <c r="F28" s="16" t="str" cm="1">
        <f t="array" ref="F28">_xlfn.IFS(C28&lt;$M$36,"-",C28&lt;=$M$5,$M$18)</f>
        <v>-</v>
      </c>
      <c r="G28" s="16" cm="1">
        <f t="array" ref="G28">_xlfn.IFS(OR(C28&lt;$M$21,AND(C28&gt;$M$22,C28&lt;=$M$5)),"-",C28&lt;=$M$22,C28*$M$23)</f>
        <v>64000</v>
      </c>
      <c r="H28" s="16" t="str" cm="1">
        <f t="array" ref="H28">_xlfn.IFS(OR(C28&lt;$M$36,AND(C28&lt;=$M$5,C28&gt;$M$37)),"-",ROUNDUP(C28&lt;=(($M$37+$M$36)/2),0),$M$26,C28&lt;=$M$37,$M$27)</f>
        <v>-</v>
      </c>
      <c r="I28" s="16" t="str" cm="1">
        <f t="array" ref="I28">_xlfn.IFS(OR(AND(C28&lt;=$M$5,C28&gt;$M$37),C28&lt;$M$36),"-",C28&lt;=$M$37,$M$30/($M$37-$M$36+1))</f>
        <v>-</v>
      </c>
      <c r="J28" s="16" t="str" cm="1">
        <f t="array" ref="J28">_xlfn.IFS(C28&lt;$M$36,"-",AND(ISEVEN($M$36),ISEVEN(C28),C28&lt;=$M$37),$M$33,AND(ISODD($M$36),ISODD(C28),C28&lt;=$M$37),$M$33,C28&lt;=$M$5,"-")</f>
        <v>-</v>
      </c>
    </row>
    <row r="29" spans="3:13" x14ac:dyDescent="0.25">
      <c r="C29" s="4">
        <v>65</v>
      </c>
      <c r="D29" s="16" t="str" cm="1">
        <f t="array" ref="D29">_xlfn.IFS(OR(C29&lt;$M$36,AND(C29&gt;$M$37,C29&lt;=$M$5)),"-",C29&lt;=$M$36+(Annuity_Calc!$C$16),$M$9)</f>
        <v>-</v>
      </c>
      <c r="E29" s="16" cm="1">
        <f t="array" ref="E29">_xlfn.IFS(OR(C29&lt;$M$12,AND(C29&gt;$M$13,C29&lt;=$M$5)),"-",C29&lt;=$M$13,$M$14+(C29-$M$12)*$M$15)</f>
        <v>25000</v>
      </c>
      <c r="F29" s="16" t="str" cm="1">
        <f t="array" ref="F29">_xlfn.IFS(C29&lt;$M$36,"-",C29&lt;=$M$5,$M$18)</f>
        <v>-</v>
      </c>
      <c r="G29" s="16" cm="1">
        <f t="array" ref="G29">_xlfn.IFS(OR(C29&lt;$M$21,AND(C29&gt;$M$22,C29&lt;=$M$5)),"-",C29&lt;=$M$22,C29*$M$23)</f>
        <v>65000</v>
      </c>
      <c r="H29" s="16" t="str" cm="1">
        <f t="array" ref="H29">_xlfn.IFS(OR(C29&lt;$M$36,AND(C29&lt;=$M$5,C29&gt;$M$37)),"-",ROUNDUP(C29&lt;=(($M$37+$M$36)/2),0),$M$26,C29&lt;=$M$37,$M$27)</f>
        <v>-</v>
      </c>
      <c r="I29" s="16" t="str" cm="1">
        <f t="array" ref="I29">_xlfn.IFS(OR(AND(C29&lt;=$M$5,C29&gt;$M$37),C29&lt;$M$36),"-",C29&lt;=$M$37,$M$30/($M$37-$M$36+1))</f>
        <v>-</v>
      </c>
      <c r="J29" s="16" t="str" cm="1">
        <f t="array" ref="J29">_xlfn.IFS(C29&lt;$M$36,"-",AND(ISEVEN($M$36),ISEVEN(C29),C29&lt;=$M$37),$M$33,AND(ISODD($M$36),ISODD(C29),C29&lt;=$M$37),$M$33,C29&lt;=$M$5,"-")</f>
        <v>-</v>
      </c>
      <c r="L29" s="10" t="s">
        <v>20</v>
      </c>
    </row>
    <row r="30" spans="3:13" x14ac:dyDescent="0.25">
      <c r="C30" s="4">
        <v>66</v>
      </c>
      <c r="D30" s="16" t="str" cm="1">
        <f t="array" ref="D30">_xlfn.IFS(OR(C30&lt;$M$36,AND(C30&gt;$M$37,C30&lt;=$M$5)),"-",C30&lt;=$M$36+(Annuity_Calc!$C$16),$M$9)</f>
        <v>-</v>
      </c>
      <c r="E30" s="16" cm="1">
        <f t="array" ref="E30">_xlfn.IFS(OR(C30&lt;$M$12,AND(C30&gt;$M$13,C30&lt;=$M$5)),"-",C30&lt;=$M$13,$M$14+(C30-$M$12)*$M$15)</f>
        <v>26000</v>
      </c>
      <c r="F30" s="16" t="str" cm="1">
        <f t="array" ref="F30">_xlfn.IFS(C30&lt;$M$36,"-",C30&lt;=$M$5,$M$18)</f>
        <v>-</v>
      </c>
      <c r="G30" s="16" cm="1">
        <f t="array" ref="G30">_xlfn.IFS(OR(C30&lt;$M$21,AND(C30&gt;$M$22,C30&lt;=$M$5)),"-",C30&lt;=$M$22,C30*$M$23)</f>
        <v>66000</v>
      </c>
      <c r="H30" s="16" t="str" cm="1">
        <f t="array" ref="H30">_xlfn.IFS(OR(C30&lt;$M$36,AND(C30&lt;=$M$5,C30&gt;$M$37)),"-",ROUNDUP(C30&lt;=(($M$37+$M$36)/2),0),$M$26,C30&lt;=$M$37,$M$27)</f>
        <v>-</v>
      </c>
      <c r="I30" s="16" t="str" cm="1">
        <f t="array" ref="I30">_xlfn.IFS(OR(AND(C30&lt;=$M$5,C30&gt;$M$37),C30&lt;$M$36),"-",C30&lt;=$M$37,$M$30/($M$37-$M$36+1))</f>
        <v>-</v>
      </c>
      <c r="J30" s="16" t="str" cm="1">
        <f t="array" ref="J30">_xlfn.IFS(C30&lt;$M$36,"-",AND(ISEVEN($M$36),ISEVEN(C30),C30&lt;=$M$37),$M$33,AND(ISODD($M$36),ISODD(C30),C30&lt;=$M$37),$M$33,C30&lt;=$M$5,"-")</f>
        <v>-</v>
      </c>
      <c r="L30" s="2" t="s">
        <v>15</v>
      </c>
      <c r="M30" s="9">
        <v>100000</v>
      </c>
    </row>
    <row r="31" spans="3:13" x14ac:dyDescent="0.25">
      <c r="C31" s="4">
        <v>67</v>
      </c>
      <c r="D31" s="16" t="str" cm="1">
        <f t="array" ref="D31">_xlfn.IFS(OR(C31&lt;$M$36,AND(C31&gt;$M$37,C31&lt;=$M$5)),"-",C31&lt;=$M$36+(Annuity_Calc!$C$16),$M$9)</f>
        <v>-</v>
      </c>
      <c r="E31" s="16" cm="1">
        <f t="array" ref="E31">_xlfn.IFS(OR(C31&lt;$M$12,AND(C31&gt;$M$13,C31&lt;=$M$5)),"-",C31&lt;=$M$13,$M$14+(C31-$M$12)*$M$15)</f>
        <v>27000</v>
      </c>
      <c r="F31" s="16" t="str" cm="1">
        <f t="array" ref="F31">_xlfn.IFS(C31&lt;$M$36,"-",C31&lt;=$M$5,$M$18)</f>
        <v>-</v>
      </c>
      <c r="G31" s="16" cm="1">
        <f t="array" ref="G31">_xlfn.IFS(OR(C31&lt;$M$21,AND(C31&gt;$M$22,C31&lt;=$M$5)),"-",C31&lt;=$M$22,C31*$M$23)</f>
        <v>67000</v>
      </c>
      <c r="H31" s="16" t="str" cm="1">
        <f t="array" ref="H31">_xlfn.IFS(OR(C31&lt;$M$36,AND(C31&lt;=$M$5,C31&gt;$M$37)),"-",ROUNDUP(C31&lt;=(($M$37+$M$36)/2),0),$M$26,C31&lt;=$M$37,$M$27)</f>
        <v>-</v>
      </c>
      <c r="I31" s="16" t="str" cm="1">
        <f t="array" ref="I31">_xlfn.IFS(OR(AND(C31&lt;=$M$5,C31&gt;$M$37),C31&lt;$M$36),"-",C31&lt;=$M$37,$M$30/($M$37-$M$36+1))</f>
        <v>-</v>
      </c>
      <c r="J31" s="16" t="str" cm="1">
        <f t="array" ref="J31">_xlfn.IFS(C31&lt;$M$36,"-",AND(ISEVEN($M$36),ISEVEN(C31),C31&lt;=$M$37),$M$33,AND(ISODD($M$36),ISODD(C31),C31&lt;=$M$37),$M$33,C31&lt;=$M$5,"-")</f>
        <v>-</v>
      </c>
    </row>
    <row r="32" spans="3:13" x14ac:dyDescent="0.25">
      <c r="C32" s="4">
        <v>68</v>
      </c>
      <c r="D32" s="16" t="str" cm="1">
        <f t="array" ref="D32">_xlfn.IFS(OR(C32&lt;$M$36,AND(C32&gt;$M$37,C32&lt;=$M$5)),"-",C32&lt;=$M$36+(Annuity_Calc!$C$16),$M$9)</f>
        <v>-</v>
      </c>
      <c r="E32" s="16" cm="1">
        <f t="array" ref="E32">_xlfn.IFS(OR(C32&lt;$M$12,AND(C32&gt;$M$13,C32&lt;=$M$5)),"-",C32&lt;=$M$13,$M$14+(C32-$M$12)*$M$15)</f>
        <v>28000</v>
      </c>
      <c r="F32" s="16" t="str" cm="1">
        <f t="array" ref="F32">_xlfn.IFS(C32&lt;$M$36,"-",C32&lt;=$M$5,$M$18)</f>
        <v>-</v>
      </c>
      <c r="G32" s="16" cm="1">
        <f t="array" ref="G32">_xlfn.IFS(OR(C32&lt;$M$21,AND(C32&gt;$M$22,C32&lt;=$M$5)),"-",C32&lt;=$M$22,C32*$M$23)</f>
        <v>68000</v>
      </c>
      <c r="H32" s="16" t="str" cm="1">
        <f t="array" ref="H32">_xlfn.IFS(OR(C32&lt;$M$36,AND(C32&lt;=$M$5,C32&gt;$M$37)),"-",ROUNDUP(C32&lt;=(($M$37+$M$36)/2),0),$M$26,C32&lt;=$M$37,$M$27)</f>
        <v>-</v>
      </c>
      <c r="I32" s="16" t="str" cm="1">
        <f t="array" ref="I32">_xlfn.IFS(OR(AND(C32&lt;=$M$5,C32&gt;$M$37),C32&lt;$M$36),"-",C32&lt;=$M$37,$M$30/($M$37-$M$36+1))</f>
        <v>-</v>
      </c>
      <c r="J32" s="16" t="str" cm="1">
        <f t="array" ref="J32">_xlfn.IFS(C32&lt;$M$36,"-",AND(ISEVEN($M$36),ISEVEN(C32),C32&lt;=$M$37),$M$33,AND(ISODD($M$36),ISODD(C32),C32&lt;=$M$37),$M$33,C32&lt;=$M$5,"-")</f>
        <v>-</v>
      </c>
      <c r="L32" s="10" t="s">
        <v>21</v>
      </c>
    </row>
    <row r="33" spans="3:13" x14ac:dyDescent="0.25">
      <c r="C33" s="4">
        <v>69</v>
      </c>
      <c r="D33" s="16" t="str" cm="1">
        <f t="array" ref="D33">_xlfn.IFS(OR(C33&lt;$M$36,AND(C33&gt;$M$37,C33&lt;=$M$5)),"-",C33&lt;=$M$36+(Annuity_Calc!$C$16),$M$9)</f>
        <v>-</v>
      </c>
      <c r="E33" s="16" cm="1">
        <f t="array" ref="E33">_xlfn.IFS(OR(C33&lt;$M$12,AND(C33&gt;$M$13,C33&lt;=$M$5)),"-",C33&lt;=$M$13,$M$14+(C33-$M$12)*$M$15)</f>
        <v>29000</v>
      </c>
      <c r="F33" s="16" t="str" cm="1">
        <f t="array" ref="F33">_xlfn.IFS(C33&lt;$M$36,"-",C33&lt;=$M$5,$M$18)</f>
        <v>-</v>
      </c>
      <c r="G33" s="16" cm="1">
        <f t="array" ref="G33">_xlfn.IFS(OR(C33&lt;$M$21,AND(C33&gt;$M$22,C33&lt;=$M$5)),"-",C33&lt;=$M$22,C33*$M$23)</f>
        <v>69000</v>
      </c>
      <c r="H33" s="16" t="str" cm="1">
        <f t="array" ref="H33">_xlfn.IFS(OR(C33&lt;$M$36,AND(C33&lt;=$M$5,C33&gt;$M$37)),"-",ROUNDUP(C33&lt;=(($M$37+$M$36)/2),0),$M$26,C33&lt;=$M$37,$M$27)</f>
        <v>-</v>
      </c>
      <c r="I33" s="16" t="str" cm="1">
        <f t="array" ref="I33">_xlfn.IFS(OR(AND(C33&lt;=$M$5,C33&gt;$M$37),C33&lt;$M$36),"-",C33&lt;=$M$37,$M$30/($M$37-$M$36+1))</f>
        <v>-</v>
      </c>
      <c r="J33" s="16" t="str" cm="1">
        <f t="array" ref="J33">_xlfn.IFS(C33&lt;$M$36,"-",AND(ISEVEN($M$36),ISEVEN(C33),C33&lt;=$M$37),$M$33,AND(ISODD($M$36),ISODD(C33),C33&lt;=$M$37),$M$33,C33&lt;=$M$5,"-")</f>
        <v>-</v>
      </c>
      <c r="L33" s="2" t="s">
        <v>10</v>
      </c>
      <c r="M33" s="9">
        <v>30000</v>
      </c>
    </row>
    <row r="34" spans="3:13" x14ac:dyDescent="0.25">
      <c r="C34" s="4">
        <v>70</v>
      </c>
      <c r="D34" s="16" cm="1">
        <f t="array" ref="D34">_xlfn.IFS(OR(C34&lt;$M$36,AND(C34&gt;$M$37,C34&lt;=$M$5)),"-",C34&lt;=$M$36+(Annuity_Calc!$C$16),$M$9)</f>
        <v>15000</v>
      </c>
      <c r="E34" s="16" cm="1">
        <f t="array" ref="E34">_xlfn.IFS(OR(C34&lt;$M$12,AND(C34&gt;$M$13,C34&lt;=$M$5)),"-",C34&lt;=$M$13,$M$14+(C34-$M$12)*$M$15)</f>
        <v>30000</v>
      </c>
      <c r="F34" s="16" cm="1">
        <f t="array" ref="F34">_xlfn.IFS(C34&lt;$M$36,"-",C34&lt;=$M$5,$M$18)</f>
        <v>7200</v>
      </c>
      <c r="G34" s="16" cm="1">
        <f t="array" ref="G34">_xlfn.IFS(OR(C34&lt;$M$21,AND(C34&gt;$M$22,C34&lt;=$M$5)),"-",C34&lt;=$M$22,C34*$M$23)</f>
        <v>70000</v>
      </c>
      <c r="H34" s="16" cm="1">
        <f t="array" ref="H34">_xlfn.IFS(OR(C34&lt;$M$36,AND(C34&lt;=$M$5,C34&gt;$M$37)),"-",ROUNDUP(C34&lt;=(($M$37+$M$36)/2),0),$M$26,C34&lt;=$M$37,$M$27)</f>
        <v>19000</v>
      </c>
      <c r="I34" s="16" cm="1">
        <f t="array" ref="I34">_xlfn.IFS(OR(AND(C34&lt;=$M$5,C34&gt;$M$37),C34&lt;$M$36),"-",C34&lt;=$M$37,$M$30/($M$37-$M$36+1))</f>
        <v>100000</v>
      </c>
      <c r="J34" s="16" cm="1">
        <f t="array" ref="J34">_xlfn.IFS(C34&lt;$M$36,"-",AND(ISEVEN($M$36),ISEVEN(C34),C34&lt;=$M$37),$M$33,AND(ISODD($M$36),ISODD(C34),C34&lt;=$M$37),$M$33,C34&lt;=$M$5,"-")</f>
        <v>30000</v>
      </c>
    </row>
    <row r="35" spans="3:13" x14ac:dyDescent="0.25">
      <c r="C35" s="4">
        <v>71</v>
      </c>
      <c r="D35" s="16" t="str" cm="1">
        <f t="array" ref="D35">_xlfn.IFS(OR(C35&lt;$M$36,AND(C35&gt;$M$37,C35&lt;=$M$5)),"-",C35&lt;=$M$36+(Annuity_Calc!$C$16),$M$9)</f>
        <v>-</v>
      </c>
      <c r="E35" s="16" cm="1">
        <f t="array" ref="E35">_xlfn.IFS(OR(C35&lt;$M$12,AND(C35&gt;$M$13,C35&lt;=$M$5)),"-",C35&lt;=$M$13,$M$14+(C35-$M$12)*$M$15)</f>
        <v>31000</v>
      </c>
      <c r="F35" s="16" cm="1">
        <f t="array" ref="F35">_xlfn.IFS(C35&lt;$M$36,"-",C35&lt;=$M$5,$M$18)</f>
        <v>7200</v>
      </c>
      <c r="G35" s="16" cm="1">
        <f t="array" ref="G35">_xlfn.IFS(OR(C35&lt;$M$21,AND(C35&gt;$M$22,C35&lt;=$M$5)),"-",C35&lt;=$M$22,C35*$M$23)</f>
        <v>71000</v>
      </c>
      <c r="H35" s="16" t="str" cm="1">
        <f t="array" ref="H35">_xlfn.IFS(OR(C35&lt;$M$36,AND(C35&lt;=$M$5,C35&gt;$M$37)),"-",ROUNDUP(C35&lt;=(($M$37+$M$36)/2),0),$M$26,C35&lt;=$M$37,$M$27)</f>
        <v>-</v>
      </c>
      <c r="I35" s="16" t="str" cm="1">
        <f t="array" ref="I35">_xlfn.IFS(OR(AND(C35&lt;=$M$5,C35&gt;$M$37),C35&lt;$M$36),"-",C35&lt;=$M$37,$M$30/($M$37-$M$36+1))</f>
        <v>-</v>
      </c>
      <c r="J35" s="16" t="str" cm="1">
        <f t="array" ref="J35">_xlfn.IFS(C35&lt;$M$36,"-",AND(ISEVEN($M$36),ISEVEN(C35),C35&lt;=$M$37),$M$33,AND(ISODD($M$36),ISODD(C35),C35&lt;=$M$37),$M$33,C35&lt;=$M$5,"-")</f>
        <v>-</v>
      </c>
      <c r="L35" s="10" t="s">
        <v>7</v>
      </c>
    </row>
    <row r="36" spans="3:13" x14ac:dyDescent="0.25">
      <c r="C36" s="4">
        <v>72</v>
      </c>
      <c r="D36" s="16" t="str" cm="1">
        <f t="array" ref="D36">_xlfn.IFS(OR(C36&lt;$M$36,AND(C36&gt;$M$37,C36&lt;=$M$5)),"-",C36&lt;=$M$36+(Annuity_Calc!$C$16),$M$9)</f>
        <v>-</v>
      </c>
      <c r="E36" s="16" cm="1">
        <f t="array" ref="E36">_xlfn.IFS(OR(C36&lt;$M$12,AND(C36&gt;$M$13,C36&lt;=$M$5)),"-",C36&lt;=$M$13,$M$14+(C36-$M$12)*$M$15)</f>
        <v>32000</v>
      </c>
      <c r="F36" s="16" cm="1">
        <f t="array" ref="F36">_xlfn.IFS(C36&lt;$M$36,"-",C36&lt;=$M$5,$M$18)</f>
        <v>7200</v>
      </c>
      <c r="G36" s="16" cm="1">
        <f t="array" ref="G36">_xlfn.IFS(OR(C36&lt;$M$21,AND(C36&gt;$M$22,C36&lt;=$M$5)),"-",C36&lt;=$M$22,C36*$M$23)</f>
        <v>72000</v>
      </c>
      <c r="H36" s="16" t="str" cm="1">
        <f t="array" ref="H36">_xlfn.IFS(OR(C36&lt;$M$36,AND(C36&lt;=$M$5,C36&gt;$M$37)),"-",ROUNDUP(C36&lt;=(($M$37+$M$36)/2),0),$M$26,C36&lt;=$M$37,$M$27)</f>
        <v>-</v>
      </c>
      <c r="I36" s="16" t="str" cm="1">
        <f t="array" ref="I36">_xlfn.IFS(OR(AND(C36&lt;=$M$5,C36&gt;$M$37),C36&lt;$M$36),"-",C36&lt;=$M$37,$M$30/($M$37-$M$36+1))</f>
        <v>-</v>
      </c>
      <c r="J36" s="16" t="str" cm="1">
        <f t="array" ref="J36">_xlfn.IFS(C36&lt;$M$36,"-",AND(ISEVEN($M$36),ISEVEN(C36),C36&lt;=$M$37),$M$33,AND(ISODD($M$36),ISODD(C36),C36&lt;=$M$37),$M$33,C36&lt;=$M$5,"-")</f>
        <v>-</v>
      </c>
      <c r="L36" s="2" t="s">
        <v>6</v>
      </c>
      <c r="M36" s="8">
        <f>Annuity_Calc!$C$13</f>
        <v>70</v>
      </c>
    </row>
    <row r="37" spans="3:13" x14ac:dyDescent="0.25">
      <c r="C37" s="4">
        <v>73</v>
      </c>
      <c r="D37" s="16" t="str" cm="1">
        <f t="array" ref="D37">_xlfn.IFS(OR(C37&lt;$M$36,AND(C37&gt;$M$37,C37&lt;=$M$5)),"-",C37&lt;=$M$36+(Annuity_Calc!$C$16),$M$9)</f>
        <v>-</v>
      </c>
      <c r="E37" s="16" cm="1">
        <f t="array" ref="E37">_xlfn.IFS(OR(C37&lt;$M$12,AND(C37&gt;$M$13,C37&lt;=$M$5)),"-",C37&lt;=$M$13,$M$14+(C37-$M$12)*$M$15)</f>
        <v>33000</v>
      </c>
      <c r="F37" s="16" cm="1">
        <f t="array" ref="F37">_xlfn.IFS(C37&lt;$M$36,"-",C37&lt;=$M$5,$M$18)</f>
        <v>7200</v>
      </c>
      <c r="G37" s="16" cm="1">
        <f t="array" ref="G37">_xlfn.IFS(OR(C37&lt;$M$21,AND(C37&gt;$M$22,C37&lt;=$M$5)),"-",C37&lt;=$M$22,C37*$M$23)</f>
        <v>73000</v>
      </c>
      <c r="H37" s="16" t="str" cm="1">
        <f t="array" ref="H37">_xlfn.IFS(OR(C37&lt;$M$36,AND(C37&lt;=$M$5,C37&gt;$M$37)),"-",ROUNDUP(C37&lt;=(($M$37+$M$36)/2),0),$M$26,C37&lt;=$M$37,$M$27)</f>
        <v>-</v>
      </c>
      <c r="I37" s="16" t="str" cm="1">
        <f t="array" ref="I37">_xlfn.IFS(OR(AND(C37&lt;=$M$5,C37&gt;$M$37),C37&lt;$M$36),"-",C37&lt;=$M$37,$M$30/($M$37-$M$36+1))</f>
        <v>-</v>
      </c>
      <c r="J37" s="16" t="str" cm="1">
        <f t="array" ref="J37">_xlfn.IFS(C37&lt;$M$36,"-",AND(ISEVEN($M$36),ISEVEN(C37),C37&lt;=$M$37),$M$33,AND(ISODD($M$36),ISODD(C37),C37&lt;=$M$37),$M$33,C37&lt;=$M$5,"-")</f>
        <v>-</v>
      </c>
      <c r="L37" s="2" t="s">
        <v>9</v>
      </c>
      <c r="M37" s="8">
        <f>IF($M$36+Annuity_Calc!$C$16&gt;$M$5,$M$5,$M$36+Annuity_Calc!$C$16)</f>
        <v>70</v>
      </c>
    </row>
    <row r="38" spans="3:13" x14ac:dyDescent="0.25">
      <c r="C38" s="4">
        <v>74</v>
      </c>
      <c r="D38" s="16" t="str" cm="1">
        <f t="array" ref="D38">_xlfn.IFS(OR(C38&lt;$M$36,AND(C38&gt;$M$37,C38&lt;=$M$5)),"-",C38&lt;=$M$36+(Annuity_Calc!$C$16),$M$9)</f>
        <v>-</v>
      </c>
      <c r="E38" s="16" cm="1">
        <f t="array" ref="E38">_xlfn.IFS(OR(C38&lt;$M$12,AND(C38&gt;$M$13,C38&lt;=$M$5)),"-",C38&lt;=$M$13,$M$14+(C38-$M$12)*$M$15)</f>
        <v>34000</v>
      </c>
      <c r="F38" s="16" cm="1">
        <f t="array" ref="F38">_xlfn.IFS(C38&lt;$M$36,"-",C38&lt;=$M$5,$M$18)</f>
        <v>7200</v>
      </c>
      <c r="G38" s="16" cm="1">
        <f t="array" ref="G38">_xlfn.IFS(OR(C38&lt;$M$21,AND(C38&gt;$M$22,C38&lt;=$M$5)),"-",C38&lt;=$M$22,C38*$M$23)</f>
        <v>74000</v>
      </c>
      <c r="H38" s="16" t="str" cm="1">
        <f t="array" ref="H38">_xlfn.IFS(OR(C38&lt;$M$36,AND(C38&lt;=$M$5,C38&gt;$M$37)),"-",ROUNDUP(C38&lt;=(($M$37+$M$36)/2),0),$M$26,C38&lt;=$M$37,$M$27)</f>
        <v>-</v>
      </c>
      <c r="I38" s="16" t="str" cm="1">
        <f t="array" ref="I38">_xlfn.IFS(OR(AND(C38&lt;=$M$5,C38&gt;$M$37),C38&lt;$M$36),"-",C38&lt;=$M$37,$M$30/($M$37-$M$36+1))</f>
        <v>-</v>
      </c>
      <c r="J38" s="16" t="str" cm="1">
        <f t="array" ref="J38">_xlfn.IFS(C38&lt;$M$36,"-",AND(ISEVEN($M$36),ISEVEN(C38),C38&lt;=$M$37),$M$33,AND(ISODD($M$36),ISODD(C38),C38&lt;=$M$37),$M$33,C38&lt;=$M$5,"-")</f>
        <v>-</v>
      </c>
    </row>
    <row r="39" spans="3:13" x14ac:dyDescent="0.25">
      <c r="C39" s="4">
        <v>75</v>
      </c>
      <c r="D39" s="16" t="str" cm="1">
        <f t="array" ref="D39">_xlfn.IFS(OR(C39&lt;$M$36,AND(C39&gt;$M$37,C39&lt;=$M$5)),"-",C39&lt;=$M$36+(Annuity_Calc!$C$16),$M$9)</f>
        <v>-</v>
      </c>
      <c r="E39" s="16" cm="1">
        <f t="array" ref="E39">_xlfn.IFS(OR(C39&lt;$M$12,AND(C39&gt;$M$13,C39&lt;=$M$5)),"-",C39&lt;=$M$13,$M$14+(C39-$M$12)*$M$15)</f>
        <v>35000</v>
      </c>
      <c r="F39" s="16" cm="1">
        <f t="array" ref="F39">_xlfn.IFS(C39&lt;$M$36,"-",C39&lt;=$M$5,$M$18)</f>
        <v>7200</v>
      </c>
      <c r="G39" s="16" cm="1">
        <f t="array" ref="G39">_xlfn.IFS(OR(C39&lt;$M$21,AND(C39&gt;$M$22,C39&lt;=$M$5)),"-",C39&lt;=$M$22,C39*$M$23)</f>
        <v>75000</v>
      </c>
      <c r="H39" s="16" t="str" cm="1">
        <f t="array" ref="H39">_xlfn.IFS(OR(C39&lt;$M$36,AND(C39&lt;=$M$5,C39&gt;$M$37)),"-",ROUNDUP(C39&lt;=(($M$37+$M$36)/2),0),$M$26,C39&lt;=$M$37,$M$27)</f>
        <v>-</v>
      </c>
      <c r="I39" s="16" t="str" cm="1">
        <f t="array" ref="I39">_xlfn.IFS(OR(AND(C39&lt;=$M$5,C39&gt;$M$37),C39&lt;$M$36),"-",C39&lt;=$M$37,$M$30/($M$37-$M$36+1))</f>
        <v>-</v>
      </c>
      <c r="J39" s="16" t="str" cm="1">
        <f t="array" ref="J39">_xlfn.IFS(C39&lt;$M$36,"-",AND(ISEVEN($M$36),ISEVEN(C39),C39&lt;=$M$37),$M$33,AND(ISODD($M$36),ISODD(C39),C39&lt;=$M$37),$M$33,C39&lt;=$M$5,"-")</f>
        <v>-</v>
      </c>
    </row>
    <row r="40" spans="3:13" x14ac:dyDescent="0.25">
      <c r="C40" s="4">
        <v>76</v>
      </c>
      <c r="D40" s="16" t="str" cm="1">
        <f t="array" ref="D40">_xlfn.IFS(OR(C40&lt;$M$36,AND(C40&gt;$M$37,C40&lt;=$M$5)),"-",C40&lt;=$M$36+(Annuity_Calc!$C$16),$M$9)</f>
        <v>-</v>
      </c>
      <c r="E40" s="16" cm="1">
        <f t="array" ref="E40">_xlfn.IFS(OR(C40&lt;$M$12,AND(C40&gt;$M$13,C40&lt;=$M$5)),"-",C40&lt;=$M$13,$M$14+(C40-$M$12)*$M$15)</f>
        <v>36000</v>
      </c>
      <c r="F40" s="16" cm="1">
        <f t="array" ref="F40">_xlfn.IFS(C40&lt;$M$36,"-",C40&lt;=$M$5,$M$18)</f>
        <v>7200</v>
      </c>
      <c r="G40" s="16" cm="1">
        <f t="array" ref="G40">_xlfn.IFS(OR(C40&lt;$M$21,AND(C40&gt;$M$22,C40&lt;=$M$5)),"-",C40&lt;=$M$22,C40*$M$23)</f>
        <v>76000</v>
      </c>
      <c r="H40" s="16" t="str" cm="1">
        <f t="array" ref="H40">_xlfn.IFS(OR(C40&lt;$M$36,AND(C40&lt;=$M$5,C40&gt;$M$37)),"-",ROUNDUP(C40&lt;=(($M$37+$M$36)/2),0),$M$26,C40&lt;=$M$37,$M$27)</f>
        <v>-</v>
      </c>
      <c r="I40" s="16" t="str" cm="1">
        <f t="array" ref="I40">_xlfn.IFS(OR(AND(C40&lt;=$M$5,C40&gt;$M$37),C40&lt;$M$36),"-",C40&lt;=$M$37,$M$30/($M$37-$M$36+1))</f>
        <v>-</v>
      </c>
      <c r="J40" s="16" t="str" cm="1">
        <f t="array" ref="J40">_xlfn.IFS(C40&lt;$M$36,"-",AND(ISEVEN($M$36),ISEVEN(C40),C40&lt;=$M$37),$M$33,AND(ISODD($M$36),ISODD(C40),C40&lt;=$M$37),$M$33,C40&lt;=$M$5,"-")</f>
        <v>-</v>
      </c>
    </row>
    <row r="41" spans="3:13" x14ac:dyDescent="0.25">
      <c r="C41" s="4">
        <v>77</v>
      </c>
      <c r="D41" s="16" t="str" cm="1">
        <f t="array" ref="D41">_xlfn.IFS(OR(C41&lt;$M$36,AND(C41&gt;$M$37,C41&lt;=$M$5)),"-",C41&lt;=$M$36+(Annuity_Calc!$C$16),$M$9)</f>
        <v>-</v>
      </c>
      <c r="E41" s="16" cm="1">
        <f t="array" ref="E41">_xlfn.IFS(OR(C41&lt;$M$12,AND(C41&gt;$M$13,C41&lt;=$M$5)),"-",C41&lt;=$M$13,$M$14+(C41-$M$12)*$M$15)</f>
        <v>37000</v>
      </c>
      <c r="F41" s="16" cm="1">
        <f t="array" ref="F41">_xlfn.IFS(C41&lt;$M$36,"-",C41&lt;=$M$5,$M$18)</f>
        <v>7200</v>
      </c>
      <c r="G41" s="16" cm="1">
        <f t="array" ref="G41">_xlfn.IFS(OR(C41&lt;$M$21,AND(C41&gt;$M$22,C41&lt;=$M$5)),"-",C41&lt;=$M$22,C41*$M$23)</f>
        <v>77000</v>
      </c>
      <c r="H41" s="16" t="str" cm="1">
        <f t="array" ref="H41">_xlfn.IFS(OR(C41&lt;$M$36,AND(C41&lt;=$M$5,C41&gt;$M$37)),"-",ROUNDUP(C41&lt;=(($M$37+$M$36)/2),0),$M$26,C41&lt;=$M$37,$M$27)</f>
        <v>-</v>
      </c>
      <c r="I41" s="16" t="str" cm="1">
        <f t="array" ref="I41">_xlfn.IFS(OR(AND(C41&lt;=$M$5,C41&gt;$M$37),C41&lt;$M$36),"-",C41&lt;=$M$37,$M$30/($M$37-$M$36+1))</f>
        <v>-</v>
      </c>
      <c r="J41" s="16" t="str" cm="1">
        <f t="array" ref="J41">_xlfn.IFS(C41&lt;$M$36,"-",AND(ISEVEN($M$36),ISEVEN(C41),C41&lt;=$M$37),$M$33,AND(ISODD($M$36),ISODD(C41),C41&lt;=$M$37),$M$33,C41&lt;=$M$5,"-")</f>
        <v>-</v>
      </c>
    </row>
    <row r="42" spans="3:13" x14ac:dyDescent="0.25">
      <c r="C42" s="4">
        <v>78</v>
      </c>
      <c r="D42" s="16" t="str" cm="1">
        <f t="array" ref="D42">_xlfn.IFS(OR(C42&lt;$M$36,AND(C42&gt;$M$37,C42&lt;=$M$5)),"-",C42&lt;=$M$36+(Annuity_Calc!$C$16),$M$9)</f>
        <v>-</v>
      </c>
      <c r="E42" s="16" cm="1">
        <f t="array" ref="E42">_xlfn.IFS(OR(C42&lt;$M$12,AND(C42&gt;$M$13,C42&lt;=$M$5)),"-",C42&lt;=$M$13,$M$14+(C42-$M$12)*$M$15)</f>
        <v>38000</v>
      </c>
      <c r="F42" s="16" cm="1">
        <f t="array" ref="F42">_xlfn.IFS(C42&lt;$M$36,"-",C42&lt;=$M$5,$M$18)</f>
        <v>7200</v>
      </c>
      <c r="G42" s="16" cm="1">
        <f t="array" ref="G42">_xlfn.IFS(OR(C42&lt;$M$21,AND(C42&gt;$M$22,C42&lt;=$M$5)),"-",C42&lt;=$M$22,C42*$M$23)</f>
        <v>78000</v>
      </c>
      <c r="H42" s="16" t="str" cm="1">
        <f t="array" ref="H42">_xlfn.IFS(OR(C42&lt;$M$36,AND(C42&lt;=$M$5,C42&gt;$M$37)),"-",ROUNDUP(C42&lt;=(($M$37+$M$36)/2),0),$M$26,C42&lt;=$M$37,$M$27)</f>
        <v>-</v>
      </c>
      <c r="I42" s="16" t="str" cm="1">
        <f t="array" ref="I42">_xlfn.IFS(OR(AND(C42&lt;=$M$5,C42&gt;$M$37),C42&lt;$M$36),"-",C42&lt;=$M$37,$M$30/($M$37-$M$36+1))</f>
        <v>-</v>
      </c>
      <c r="J42" s="16" t="str" cm="1">
        <f t="array" ref="J42">_xlfn.IFS(C42&lt;$M$36,"-",AND(ISEVEN($M$36),ISEVEN(C42),C42&lt;=$M$37),$M$33,AND(ISODD($M$36),ISODD(C42),C42&lt;=$M$37),$M$33,C42&lt;=$M$5,"-")</f>
        <v>-</v>
      </c>
    </row>
    <row r="43" spans="3:13" x14ac:dyDescent="0.25">
      <c r="C43" s="4">
        <v>79</v>
      </c>
      <c r="D43" s="16" t="str" cm="1">
        <f t="array" ref="D43">_xlfn.IFS(OR(C43&lt;$M$36,AND(C43&gt;$M$37,C43&lt;=$M$5)),"-",C43&lt;=$M$36+(Annuity_Calc!$C$16),$M$9)</f>
        <v>-</v>
      </c>
      <c r="E43" s="16" cm="1">
        <f t="array" ref="E43">_xlfn.IFS(OR(C43&lt;$M$12,AND(C43&gt;$M$13,C43&lt;=$M$5)),"-",C43&lt;=$M$13,$M$14+(C43-$M$12)*$M$15)</f>
        <v>39000</v>
      </c>
      <c r="F43" s="16" cm="1">
        <f t="array" ref="F43">_xlfn.IFS(C43&lt;$M$36,"-",C43&lt;=$M$5,$M$18)</f>
        <v>7200</v>
      </c>
      <c r="G43" s="16" cm="1">
        <f t="array" ref="G43">_xlfn.IFS(OR(C43&lt;$M$21,AND(C43&gt;$M$22,C43&lt;=$M$5)),"-",C43&lt;=$M$22,C43*$M$23)</f>
        <v>79000</v>
      </c>
      <c r="H43" s="16" t="str" cm="1">
        <f t="array" ref="H43">_xlfn.IFS(OR(C43&lt;$M$36,AND(C43&lt;=$M$5,C43&gt;$M$37)),"-",ROUNDUP(C43&lt;=(($M$37+$M$36)/2),0),$M$26,C43&lt;=$M$37,$M$27)</f>
        <v>-</v>
      </c>
      <c r="I43" s="16" t="str" cm="1">
        <f t="array" ref="I43">_xlfn.IFS(OR(AND(C43&lt;=$M$5,C43&gt;$M$37),C43&lt;$M$36),"-",C43&lt;=$M$37,$M$30/($M$37-$M$36+1))</f>
        <v>-</v>
      </c>
      <c r="J43" s="16" t="str" cm="1">
        <f t="array" ref="J43">_xlfn.IFS(C43&lt;$M$36,"-",AND(ISEVEN($M$36),ISEVEN(C43),C43&lt;=$M$37),$M$33,AND(ISODD($M$36),ISODD(C43),C43&lt;=$M$37),$M$33,C43&lt;=$M$5,"-")</f>
        <v>-</v>
      </c>
    </row>
    <row r="44" spans="3:13" x14ac:dyDescent="0.25">
      <c r="C44" s="4">
        <v>80</v>
      </c>
      <c r="D44" s="16" t="str" cm="1">
        <f t="array" ref="D44">_xlfn.IFS(OR(C44&lt;$M$36,AND(C44&gt;$M$37,C44&lt;=$M$5)),"-",C44&lt;=$M$36+(Annuity_Calc!$C$16),$M$9)</f>
        <v>-</v>
      </c>
      <c r="E44" s="16" cm="1">
        <f t="array" ref="E44">_xlfn.IFS(OR(C44&lt;$M$12,AND(C44&gt;$M$13,C44&lt;=$M$5)),"-",C44&lt;=$M$13,$M$14+(C44-$M$12)*$M$15)</f>
        <v>40000</v>
      </c>
      <c r="F44" s="16" cm="1">
        <f t="array" ref="F44">_xlfn.IFS(C44&lt;$M$36,"-",C44&lt;=$M$5,$M$18)</f>
        <v>7200</v>
      </c>
      <c r="G44" s="16" cm="1">
        <f t="array" ref="G44">_xlfn.IFS(OR(C44&lt;$M$21,AND(C44&gt;$M$22,C44&lt;=$M$5)),"-",C44&lt;=$M$22,C44*$M$23)</f>
        <v>80000</v>
      </c>
      <c r="H44" s="16" t="str" cm="1">
        <f t="array" ref="H44">_xlfn.IFS(OR(C44&lt;$M$36,AND(C44&lt;=$M$5,C44&gt;$M$37)),"-",ROUNDUP(C44&lt;=(($M$37+$M$36)/2),0),$M$26,C44&lt;=$M$37,$M$27)</f>
        <v>-</v>
      </c>
      <c r="I44" s="16" t="str" cm="1">
        <f t="array" ref="I44">_xlfn.IFS(OR(AND(C44&lt;=$M$5,C44&gt;$M$37),C44&lt;$M$36),"-",C44&lt;=$M$37,$M$30/($M$37-$M$36+1))</f>
        <v>-</v>
      </c>
      <c r="J44" s="16" t="str" cm="1">
        <f t="array" ref="J44">_xlfn.IFS(C44&lt;$M$36,"-",AND(ISEVEN($M$36),ISEVEN(C44),C44&lt;=$M$37),$M$33,AND(ISODD($M$36),ISODD(C44),C44&lt;=$M$37),$M$33,C44&lt;=$M$5,"-")</f>
        <v>-</v>
      </c>
    </row>
    <row r="45" spans="3:13" x14ac:dyDescent="0.25">
      <c r="C45" s="4">
        <v>81</v>
      </c>
      <c r="D45" s="16" t="str" cm="1">
        <f t="array" ref="D45">_xlfn.IFS(OR(C45&lt;$M$36,AND(C45&gt;$M$37,C45&lt;=$M$5)),"-",C45&lt;=$M$36+(Annuity_Calc!$C$16),$M$9)</f>
        <v>-</v>
      </c>
      <c r="E45" s="16" cm="1">
        <f t="array" ref="E45">_xlfn.IFS(OR(C45&lt;$M$12,AND(C45&gt;$M$13,C45&lt;=$M$5)),"-",C45&lt;=$M$13,$M$14+(C45-$M$12)*$M$15)</f>
        <v>41000</v>
      </c>
      <c r="F45" s="16" cm="1">
        <f t="array" ref="F45">_xlfn.IFS(C45&lt;$M$36,"-",C45&lt;=$M$5,$M$18)</f>
        <v>7200</v>
      </c>
      <c r="G45" s="16" cm="1">
        <f t="array" ref="G45">_xlfn.IFS(OR(C45&lt;$M$21,AND(C45&gt;$M$22,C45&lt;=$M$5)),"-",C45&lt;=$M$22,C45*$M$23)</f>
        <v>81000</v>
      </c>
      <c r="H45" s="16" t="str" cm="1">
        <f t="array" ref="H45">_xlfn.IFS(OR(C45&lt;$M$36,AND(C45&lt;=$M$5,C45&gt;$M$37)),"-",ROUNDUP(C45&lt;=(($M$37+$M$36)/2),0),$M$26,C45&lt;=$M$37,$M$27)</f>
        <v>-</v>
      </c>
      <c r="I45" s="16" t="str" cm="1">
        <f t="array" ref="I45">_xlfn.IFS(OR(AND(C45&lt;=$M$5,C45&gt;$M$37),C45&lt;$M$36),"-",C45&lt;=$M$37,$M$30/($M$37-$M$36+1))</f>
        <v>-</v>
      </c>
      <c r="J45" s="16" t="str" cm="1">
        <f t="array" ref="J45">_xlfn.IFS(C45&lt;$M$36,"-",AND(ISEVEN($M$36),ISEVEN(C45),C45&lt;=$M$37),$M$33,AND(ISODD($M$36),ISODD(C45),C45&lt;=$M$37),$M$33,C45&lt;=$M$5,"-")</f>
        <v>-</v>
      </c>
    </row>
    <row r="46" spans="3:13" x14ac:dyDescent="0.25">
      <c r="C46" s="4">
        <v>82</v>
      </c>
      <c r="D46" s="16" t="str" cm="1">
        <f t="array" ref="D46">_xlfn.IFS(OR(C46&lt;$M$36,AND(C46&gt;$M$37,C46&lt;=$M$5)),"-",C46&lt;=$M$36+(Annuity_Calc!$C$16),$M$9)</f>
        <v>-</v>
      </c>
      <c r="E46" s="16" cm="1">
        <f t="array" ref="E46">_xlfn.IFS(OR(C46&lt;$M$12,AND(C46&gt;$M$13,C46&lt;=$M$5)),"-",C46&lt;=$M$13,$M$14+(C46-$M$12)*$M$15)</f>
        <v>42000</v>
      </c>
      <c r="F46" s="16" cm="1">
        <f t="array" ref="F46">_xlfn.IFS(C46&lt;$M$36,"-",C46&lt;=$M$5,$M$18)</f>
        <v>7200</v>
      </c>
      <c r="G46" s="16" cm="1">
        <f t="array" ref="G46">_xlfn.IFS(OR(C46&lt;$M$21,AND(C46&gt;$M$22,C46&lt;=$M$5)),"-",C46&lt;=$M$22,C46*$M$23)</f>
        <v>82000</v>
      </c>
      <c r="H46" s="16" t="str" cm="1">
        <f t="array" ref="H46">_xlfn.IFS(OR(C46&lt;$M$36,AND(C46&lt;=$M$5,C46&gt;$M$37)),"-",ROUNDUP(C46&lt;=(($M$37+$M$36)/2),0),$M$26,C46&lt;=$M$37,$M$27)</f>
        <v>-</v>
      </c>
      <c r="I46" s="16" t="str" cm="1">
        <f t="array" ref="I46">_xlfn.IFS(OR(AND(C46&lt;=$M$5,C46&gt;$M$37),C46&lt;$M$36),"-",C46&lt;=$M$37,$M$30/($M$37-$M$36+1))</f>
        <v>-</v>
      </c>
      <c r="J46" s="16" t="str" cm="1">
        <f t="array" ref="J46">_xlfn.IFS(C46&lt;$M$36,"-",AND(ISEVEN($M$36),ISEVEN(C46),C46&lt;=$M$37),$M$33,AND(ISODD($M$36),ISODD(C46),C46&lt;=$M$37),$M$33,C46&lt;=$M$5,"-")</f>
        <v>-</v>
      </c>
    </row>
    <row r="47" spans="3:13" x14ac:dyDescent="0.25">
      <c r="C47" s="4">
        <v>83</v>
      </c>
      <c r="D47" s="16" t="str" cm="1">
        <f t="array" ref="D47">_xlfn.IFS(OR(C47&lt;$M$36,AND(C47&gt;$M$37,C47&lt;=$M$5)),"-",C47&lt;=$M$36+(Annuity_Calc!$C$16),$M$9)</f>
        <v>-</v>
      </c>
      <c r="E47" s="16" cm="1">
        <f t="array" ref="E47">_xlfn.IFS(OR(C47&lt;$M$12,AND(C47&gt;$M$13,C47&lt;=$M$5)),"-",C47&lt;=$M$13,$M$14+(C47-$M$12)*$M$15)</f>
        <v>43000</v>
      </c>
      <c r="F47" s="16" cm="1">
        <f t="array" ref="F47">_xlfn.IFS(C47&lt;$M$36,"-",C47&lt;=$M$5,$M$18)</f>
        <v>7200</v>
      </c>
      <c r="G47" s="16" cm="1">
        <f t="array" ref="G47">_xlfn.IFS(OR(C47&lt;$M$21,AND(C47&gt;$M$22,C47&lt;=$M$5)),"-",C47&lt;=$M$22,C47*$M$23)</f>
        <v>83000</v>
      </c>
      <c r="H47" s="16" t="str" cm="1">
        <f t="array" ref="H47">_xlfn.IFS(OR(C47&lt;$M$36,AND(C47&lt;=$M$5,C47&gt;$M$37)),"-",ROUNDUP(C47&lt;=(($M$37+$M$36)/2),0),$M$26,C47&lt;=$M$37,$M$27)</f>
        <v>-</v>
      </c>
      <c r="I47" s="16" t="str" cm="1">
        <f t="array" ref="I47">_xlfn.IFS(OR(AND(C47&lt;=$M$5,C47&gt;$M$37),C47&lt;$M$36),"-",C47&lt;=$M$37,$M$30/($M$37-$M$36+1))</f>
        <v>-</v>
      </c>
      <c r="J47" s="16" t="str" cm="1">
        <f t="array" ref="J47">_xlfn.IFS(C47&lt;$M$36,"-",AND(ISEVEN($M$36),ISEVEN(C47),C47&lt;=$M$37),$M$33,AND(ISODD($M$36),ISODD(C47),C47&lt;=$M$37),$M$33,C47&lt;=$M$5,"-")</f>
        <v>-</v>
      </c>
    </row>
    <row r="48" spans="3:13" x14ac:dyDescent="0.25">
      <c r="C48" s="4">
        <v>84</v>
      </c>
      <c r="D48" s="16" t="str" cm="1">
        <f t="array" ref="D48">_xlfn.IFS(OR(C48&lt;$M$36,AND(C48&gt;$M$37,C48&lt;=$M$5)),"-",C48&lt;=$M$36+(Annuity_Calc!$C$16),$M$9)</f>
        <v>-</v>
      </c>
      <c r="E48" s="16" cm="1">
        <f t="array" ref="E48">_xlfn.IFS(OR(C48&lt;$M$12,AND(C48&gt;$M$13,C48&lt;=$M$5)),"-",C48&lt;=$M$13,$M$14+(C48-$M$12)*$M$15)</f>
        <v>44000</v>
      </c>
      <c r="F48" s="16" cm="1">
        <f t="array" ref="F48">_xlfn.IFS(C48&lt;$M$36,"-",C48&lt;=$M$5,$M$18)</f>
        <v>7200</v>
      </c>
      <c r="G48" s="16" cm="1">
        <f t="array" ref="G48">_xlfn.IFS(OR(C48&lt;$M$21,AND(C48&gt;$M$22,C48&lt;=$M$5)),"-",C48&lt;=$M$22,C48*$M$23)</f>
        <v>84000</v>
      </c>
      <c r="H48" s="16" t="str" cm="1">
        <f t="array" ref="H48">_xlfn.IFS(OR(C48&lt;$M$36,AND(C48&lt;=$M$5,C48&gt;$M$37)),"-",ROUNDUP(C48&lt;=(($M$37+$M$36)/2),0),$M$26,C48&lt;=$M$37,$M$27)</f>
        <v>-</v>
      </c>
      <c r="I48" s="16" t="str" cm="1">
        <f t="array" ref="I48">_xlfn.IFS(OR(AND(C48&lt;=$M$5,C48&gt;$M$37),C48&lt;$M$36),"-",C48&lt;=$M$37,$M$30/($M$37-$M$36+1))</f>
        <v>-</v>
      </c>
      <c r="J48" s="16" t="str" cm="1">
        <f t="array" ref="J48">_xlfn.IFS(C48&lt;$M$36,"-",AND(ISEVEN($M$36),ISEVEN(C48),C48&lt;=$M$37),$M$33,AND(ISODD($M$36),ISODD(C48),C48&lt;=$M$37),$M$33,C48&lt;=$M$5,"-")</f>
        <v>-</v>
      </c>
    </row>
    <row r="49" spans="3:10" x14ac:dyDescent="0.25">
      <c r="C49" s="4">
        <v>85</v>
      </c>
      <c r="D49" s="16" t="str" cm="1">
        <f t="array" ref="D49">_xlfn.IFS(OR(C49&lt;$M$36,AND(C49&gt;$M$37,C49&lt;=$M$5)),"-",C49&lt;=$M$36+(Annuity_Calc!$C$16),$M$9)</f>
        <v>-</v>
      </c>
      <c r="E49" s="16" cm="1">
        <f t="array" ref="E49">_xlfn.IFS(OR(C49&lt;$M$12,AND(C49&gt;$M$13,C49&lt;=$M$5)),"-",C49&lt;=$M$13,$M$14+(C49-$M$12)*$M$15)</f>
        <v>45000</v>
      </c>
      <c r="F49" s="16" cm="1">
        <f t="array" ref="F49">_xlfn.IFS(C49&lt;$M$36,"-",C49&lt;=$M$5,$M$18)</f>
        <v>7200</v>
      </c>
      <c r="G49" s="16" cm="1">
        <f t="array" ref="G49">_xlfn.IFS(OR(C49&lt;$M$21,AND(C49&gt;$M$22,C49&lt;=$M$5)),"-",C49&lt;=$M$22,C49*$M$23)</f>
        <v>85000</v>
      </c>
      <c r="H49" s="16" t="str" cm="1">
        <f t="array" ref="H49">_xlfn.IFS(OR(C49&lt;$M$36,AND(C49&lt;=$M$5,C49&gt;$M$37)),"-",ROUNDUP(C49&lt;=(($M$37+$M$36)/2),0),$M$26,C49&lt;=$M$37,$M$27)</f>
        <v>-</v>
      </c>
      <c r="I49" s="16" t="str" cm="1">
        <f t="array" ref="I49">_xlfn.IFS(OR(AND(C49&lt;=$M$5,C49&gt;$M$37),C49&lt;$M$36),"-",C49&lt;=$M$37,$M$30/($M$37-$M$36+1))</f>
        <v>-</v>
      </c>
      <c r="J49" s="16" t="str" cm="1">
        <f t="array" ref="J49">_xlfn.IFS(C49&lt;$M$36,"-",AND(ISEVEN($M$36),ISEVEN(C49),C49&lt;=$M$37),$M$33,AND(ISODD($M$36),ISODD(C49),C49&lt;=$M$37),$M$33,C49&lt;=$M$5,"-")</f>
        <v>-</v>
      </c>
    </row>
    <row r="50" spans="3:10" x14ac:dyDescent="0.25">
      <c r="C50" s="4">
        <v>86</v>
      </c>
      <c r="D50" s="16" t="str" cm="1">
        <f t="array" ref="D50">_xlfn.IFS(OR(C50&lt;$M$36,AND(C50&gt;$M$37,C50&lt;=$M$5)),"-",C50&lt;=$M$36+(Annuity_Calc!$C$16),$M$9)</f>
        <v>-</v>
      </c>
      <c r="E50" s="16" cm="1">
        <f t="array" ref="E50">_xlfn.IFS(OR(C50&lt;$M$12,AND(C50&gt;$M$13,C50&lt;=$M$5)),"-",C50&lt;=$M$13,$M$14+(C50-$M$12)*$M$15)</f>
        <v>46000</v>
      </c>
      <c r="F50" s="16" cm="1">
        <f t="array" ref="F50">_xlfn.IFS(C50&lt;$M$36,"-",C50&lt;=$M$5,$M$18)</f>
        <v>7200</v>
      </c>
      <c r="G50" s="16" cm="1">
        <f t="array" ref="G50">_xlfn.IFS(OR(C50&lt;$M$21,AND(C50&gt;$M$22,C50&lt;=$M$5)),"-",C50&lt;=$M$22,C50*$M$23)</f>
        <v>86000</v>
      </c>
      <c r="H50" s="16" t="str" cm="1">
        <f t="array" ref="H50">_xlfn.IFS(OR(C50&lt;$M$36,AND(C50&lt;=$M$5,C50&gt;$M$37)),"-",ROUNDUP(C50&lt;=(($M$37+$M$36)/2),0),$M$26,C50&lt;=$M$37,$M$27)</f>
        <v>-</v>
      </c>
      <c r="I50" s="16" t="str" cm="1">
        <f t="array" ref="I50">_xlfn.IFS(OR(AND(C50&lt;=$M$5,C50&gt;$M$37),C50&lt;$M$36),"-",C50&lt;=$M$37,$M$30/($M$37-$M$36+1))</f>
        <v>-</v>
      </c>
      <c r="J50" s="16" t="str" cm="1">
        <f t="array" ref="J50">_xlfn.IFS(C50&lt;$M$36,"-",AND(ISEVEN($M$36),ISEVEN(C50),C50&lt;=$M$37),$M$33,AND(ISODD($M$36),ISODD(C50),C50&lt;=$M$37),$M$33,C50&lt;=$M$5,"-")</f>
        <v>-</v>
      </c>
    </row>
    <row r="51" spans="3:10" x14ac:dyDescent="0.25">
      <c r="C51" s="4">
        <v>87</v>
      </c>
      <c r="D51" s="16" t="str" cm="1">
        <f t="array" ref="D51">_xlfn.IFS(OR(C51&lt;$M$36,AND(C51&gt;$M$37,C51&lt;=$M$5)),"-",C51&lt;=$M$36+(Annuity_Calc!$C$16),$M$9)</f>
        <v>-</v>
      </c>
      <c r="E51" s="16" cm="1">
        <f t="array" ref="E51">_xlfn.IFS(OR(C51&lt;$M$12,AND(C51&gt;$M$13,C51&lt;=$M$5)),"-",C51&lt;=$M$13,$M$14+(C51-$M$12)*$M$15)</f>
        <v>47000</v>
      </c>
      <c r="F51" s="16" cm="1">
        <f t="array" ref="F51">_xlfn.IFS(C51&lt;$M$36,"-",C51&lt;=$M$5,$M$18)</f>
        <v>7200</v>
      </c>
      <c r="G51" s="16" cm="1">
        <f t="array" ref="G51">_xlfn.IFS(OR(C51&lt;$M$21,AND(C51&gt;$M$22,C51&lt;=$M$5)),"-",C51&lt;=$M$22,C51*$M$23)</f>
        <v>87000</v>
      </c>
      <c r="H51" s="16" t="str" cm="1">
        <f t="array" ref="H51">_xlfn.IFS(OR(C51&lt;$M$36,AND(C51&lt;=$M$5,C51&gt;$M$37)),"-",ROUNDUP(C51&lt;=(($M$37+$M$36)/2),0),$M$26,C51&lt;=$M$37,$M$27)</f>
        <v>-</v>
      </c>
      <c r="I51" s="16" t="str" cm="1">
        <f t="array" ref="I51">_xlfn.IFS(OR(AND(C51&lt;=$M$5,C51&gt;$M$37),C51&lt;$M$36),"-",C51&lt;=$M$37,$M$30/($M$37-$M$36+1))</f>
        <v>-</v>
      </c>
      <c r="J51" s="16" t="str" cm="1">
        <f t="array" ref="J51">_xlfn.IFS(C51&lt;$M$36,"-",AND(ISEVEN($M$36),ISEVEN(C51),C51&lt;=$M$37),$M$33,AND(ISODD($M$36),ISODD(C51),C51&lt;=$M$37),$M$33,C51&lt;=$M$5,"-")</f>
        <v>-</v>
      </c>
    </row>
    <row r="52" spans="3:10" x14ac:dyDescent="0.25">
      <c r="C52" s="4">
        <v>88</v>
      </c>
      <c r="D52" s="16" t="str" cm="1">
        <f t="array" ref="D52">_xlfn.IFS(OR(C52&lt;$M$36,AND(C52&gt;$M$37,C52&lt;=$M$5)),"-",C52&lt;=$M$36+(Annuity_Calc!$C$16),$M$9)</f>
        <v>-</v>
      </c>
      <c r="E52" s="16" cm="1">
        <f t="array" ref="E52">_xlfn.IFS(OR(C52&lt;$M$12,AND(C52&gt;$M$13,C52&lt;=$M$5)),"-",C52&lt;=$M$13,$M$14+(C52-$M$12)*$M$15)</f>
        <v>48000</v>
      </c>
      <c r="F52" s="16" cm="1">
        <f t="array" ref="F52">_xlfn.IFS(C52&lt;$M$36,"-",C52&lt;=$M$5,$M$18)</f>
        <v>7200</v>
      </c>
      <c r="G52" s="16" cm="1">
        <f t="array" ref="G52">_xlfn.IFS(OR(C52&lt;$M$21,AND(C52&gt;$M$22,C52&lt;=$M$5)),"-",C52&lt;=$M$22,C52*$M$23)</f>
        <v>88000</v>
      </c>
      <c r="H52" s="16" t="str" cm="1">
        <f t="array" ref="H52">_xlfn.IFS(OR(C52&lt;$M$36,AND(C52&lt;=$M$5,C52&gt;$M$37)),"-",ROUNDUP(C52&lt;=(($M$37+$M$36)/2),0),$M$26,C52&lt;=$M$37,$M$27)</f>
        <v>-</v>
      </c>
      <c r="I52" s="16" t="str" cm="1">
        <f t="array" ref="I52">_xlfn.IFS(OR(AND(C52&lt;=$M$5,C52&gt;$M$37),C52&lt;$M$36),"-",C52&lt;=$M$37,$M$30/($M$37-$M$36+1))</f>
        <v>-</v>
      </c>
      <c r="J52" s="16" t="str" cm="1">
        <f t="array" ref="J52">_xlfn.IFS(C52&lt;$M$36,"-",AND(ISEVEN($M$36),ISEVEN(C52),C52&lt;=$M$37),$M$33,AND(ISODD($M$36),ISODD(C52),C52&lt;=$M$37),$M$33,C52&lt;=$M$5,"-")</f>
        <v>-</v>
      </c>
    </row>
    <row r="53" spans="3:10" x14ac:dyDescent="0.25">
      <c r="C53" s="4">
        <v>89</v>
      </c>
      <c r="D53" s="16" t="str" cm="1">
        <f t="array" ref="D53">_xlfn.IFS(OR(C53&lt;$M$36,AND(C53&gt;$M$37,C53&lt;=$M$5)),"-",C53&lt;=$M$36+(Annuity_Calc!$C$16),$M$9)</f>
        <v>-</v>
      </c>
      <c r="E53" s="16" cm="1">
        <f t="array" ref="E53">_xlfn.IFS(OR(C53&lt;$M$12,AND(C53&gt;$M$13,C53&lt;=$M$5)),"-",C53&lt;=$M$13,$M$14+(C53-$M$12)*$M$15)</f>
        <v>49000</v>
      </c>
      <c r="F53" s="16" cm="1">
        <f t="array" ref="F53">_xlfn.IFS(C53&lt;$M$36,"-",C53&lt;=$M$5,$M$18)</f>
        <v>7200</v>
      </c>
      <c r="G53" s="16" cm="1">
        <f t="array" ref="G53">_xlfn.IFS(OR(C53&lt;$M$21,AND(C53&gt;$M$22,C53&lt;=$M$5)),"-",C53&lt;=$M$22,C53*$M$23)</f>
        <v>89000</v>
      </c>
      <c r="H53" s="16" t="str" cm="1">
        <f t="array" ref="H53">_xlfn.IFS(OR(C53&lt;$M$36,AND(C53&lt;=$M$5,C53&gt;$M$37)),"-",ROUNDUP(C53&lt;=(($M$37+$M$36)/2),0),$M$26,C53&lt;=$M$37,$M$27)</f>
        <v>-</v>
      </c>
      <c r="I53" s="16" t="str" cm="1">
        <f t="array" ref="I53">_xlfn.IFS(OR(AND(C53&lt;=$M$5,C53&gt;$M$37),C53&lt;$M$36),"-",C53&lt;=$M$37,$M$30/($M$37-$M$36+1))</f>
        <v>-</v>
      </c>
      <c r="J53" s="16" t="str" cm="1">
        <f t="array" ref="J53">_xlfn.IFS(C53&lt;$M$36,"-",AND(ISEVEN($M$36),ISEVEN(C53),C53&lt;=$M$37),$M$33,AND(ISODD($M$36),ISODD(C53),C53&lt;=$M$37),$M$33,C53&lt;=$M$5,"-")</f>
        <v>-</v>
      </c>
    </row>
    <row r="54" spans="3:10" x14ac:dyDescent="0.25">
      <c r="C54" s="4">
        <v>90</v>
      </c>
      <c r="D54" s="16" t="str" cm="1">
        <f t="array" ref="D54">_xlfn.IFS(OR(C54&lt;$M$36,AND(C54&gt;$M$37,C54&lt;=$M$5)),"-",C54&lt;=$M$36+(Annuity_Calc!$C$16),$M$9)</f>
        <v>-</v>
      </c>
      <c r="E54" s="16" cm="1">
        <f t="array" ref="E54">_xlfn.IFS(OR(C54&lt;$M$12,AND(C54&gt;$M$13,C54&lt;=$M$5)),"-",C54&lt;=$M$13,$M$14+(C54-$M$12)*$M$15)</f>
        <v>50000</v>
      </c>
      <c r="F54" s="16" cm="1">
        <f t="array" ref="F54">_xlfn.IFS(C54&lt;$M$36,"-",C54&lt;=$M$5,$M$18)</f>
        <v>7200</v>
      </c>
      <c r="G54" s="16" cm="1">
        <f t="array" ref="G54">_xlfn.IFS(OR(C54&lt;$M$21,AND(C54&gt;$M$22,C54&lt;=$M$5)),"-",C54&lt;=$M$22,C54*$M$23)</f>
        <v>90000</v>
      </c>
      <c r="H54" s="16" t="str" cm="1">
        <f t="array" ref="H54">_xlfn.IFS(OR(C54&lt;$M$36,AND(C54&lt;=$M$5,C54&gt;$M$37)),"-",ROUNDUP(C54&lt;=(($M$37+$M$36)/2),0),$M$26,C54&lt;=$M$37,$M$27)</f>
        <v>-</v>
      </c>
      <c r="I54" s="16" t="str" cm="1">
        <f t="array" ref="I54">_xlfn.IFS(OR(AND(C54&lt;=$M$5,C54&gt;$M$37),C54&lt;$M$36),"-",C54&lt;=$M$37,$M$30/($M$37-$M$36+1))</f>
        <v>-</v>
      </c>
      <c r="J54" s="16" t="str" cm="1">
        <f t="array" ref="J54">_xlfn.IFS(C54&lt;$M$36,"-",AND(ISEVEN($M$36),ISEVEN(C54),C54&lt;=$M$37),$M$33,AND(ISODD($M$36),ISODD(C54),C54&lt;=$M$37),$M$33,C54&lt;=$M$5,"-")</f>
        <v>-</v>
      </c>
    </row>
    <row r="55" spans="3:10" x14ac:dyDescent="0.25">
      <c r="C55" s="4">
        <v>91</v>
      </c>
      <c r="D55" s="16" t="str" cm="1">
        <f t="array" ref="D55">_xlfn.IFS(OR(C55&lt;$M$36,AND(C55&gt;$M$37,C55&lt;=$M$5)),"-",C55&lt;=$M$36+(Annuity_Calc!$C$16),$M$9)</f>
        <v>-</v>
      </c>
      <c r="E55" s="16" cm="1">
        <f t="array" ref="E55">_xlfn.IFS(OR(C55&lt;$M$12,AND(C55&gt;$M$13,C55&lt;=$M$5)),"-",C55&lt;=$M$13,$M$14+(C55-$M$12)*$M$15)</f>
        <v>51000</v>
      </c>
      <c r="F55" s="16" cm="1">
        <f t="array" ref="F55">_xlfn.IFS(C55&lt;$M$36,"-",C55&lt;=$M$5,$M$18)</f>
        <v>7200</v>
      </c>
      <c r="G55" s="16" cm="1">
        <f t="array" ref="G55">_xlfn.IFS(OR(C55&lt;$M$21,AND(C55&gt;$M$22,C55&lt;=$M$5)),"-",C55&lt;=$M$22,C55*$M$23)</f>
        <v>91000</v>
      </c>
      <c r="H55" s="16" t="str" cm="1">
        <f t="array" ref="H55">_xlfn.IFS(OR(C55&lt;$M$36,AND(C55&lt;=$M$5,C55&gt;$M$37)),"-",ROUNDUP(C55&lt;=(($M$37+$M$36)/2),0),$M$26,C55&lt;=$M$37,$M$27)</f>
        <v>-</v>
      </c>
      <c r="I55" s="16" t="str" cm="1">
        <f t="array" ref="I55">_xlfn.IFS(OR(AND(C55&lt;=$M$5,C55&gt;$M$37),C55&lt;$M$36),"-",C55&lt;=$M$37,$M$30/($M$37-$M$36+1))</f>
        <v>-</v>
      </c>
      <c r="J55" s="16" t="str" cm="1">
        <f t="array" ref="J55">_xlfn.IFS(C55&lt;$M$36,"-",AND(ISEVEN($M$36),ISEVEN(C55),C55&lt;=$M$37),$M$33,AND(ISODD($M$36),ISODD(C55),C55&lt;=$M$37),$M$33,C55&lt;=$M$5,"-")</f>
        <v>-</v>
      </c>
    </row>
    <row r="56" spans="3:10" x14ac:dyDescent="0.25">
      <c r="C56" s="4">
        <v>92</v>
      </c>
      <c r="D56" s="16" t="str" cm="1">
        <f t="array" ref="D56">_xlfn.IFS(OR(C56&lt;$M$36,AND(C56&gt;$M$37,C56&lt;=$M$5)),"-",C56&lt;=$M$36+(Annuity_Calc!$C$16),$M$9)</f>
        <v>-</v>
      </c>
      <c r="E56" s="16" cm="1">
        <f t="array" ref="E56">_xlfn.IFS(OR(C56&lt;$M$12,AND(C56&gt;$M$13,C56&lt;=$M$5)),"-",C56&lt;=$M$13,$M$14+(C56-$M$12)*$M$15)</f>
        <v>52000</v>
      </c>
      <c r="F56" s="16" cm="1">
        <f t="array" ref="F56">_xlfn.IFS(C56&lt;$M$36,"-",C56&lt;=$M$5,$M$18)</f>
        <v>7200</v>
      </c>
      <c r="G56" s="16" cm="1">
        <f t="array" ref="G56">_xlfn.IFS(OR(C56&lt;$M$21,AND(C56&gt;$M$22,C56&lt;=$M$5)),"-",C56&lt;=$M$22,C56*$M$23)</f>
        <v>92000</v>
      </c>
      <c r="H56" s="16" t="str" cm="1">
        <f t="array" ref="H56">_xlfn.IFS(OR(C56&lt;$M$36,AND(C56&lt;=$M$5,C56&gt;$M$37)),"-",ROUNDUP(C56&lt;=(($M$37+$M$36)/2),0),$M$26,C56&lt;=$M$37,$M$27)</f>
        <v>-</v>
      </c>
      <c r="I56" s="16" t="str" cm="1">
        <f t="array" ref="I56">_xlfn.IFS(OR(AND(C56&lt;=$M$5,C56&gt;$M$37),C56&lt;$M$36),"-",C56&lt;=$M$37,$M$30/($M$37-$M$36+1))</f>
        <v>-</v>
      </c>
      <c r="J56" s="16" t="str" cm="1">
        <f t="array" ref="J56">_xlfn.IFS(C56&lt;$M$36,"-",AND(ISEVEN($M$36),ISEVEN(C56),C56&lt;=$M$37),$M$33,AND(ISODD($M$36),ISODD(C56),C56&lt;=$M$37),$M$33,C56&lt;=$M$5,"-")</f>
        <v>-</v>
      </c>
    </row>
    <row r="57" spans="3:10" x14ac:dyDescent="0.25">
      <c r="C57" s="4">
        <v>93</v>
      </c>
      <c r="D57" s="16" t="str" cm="1">
        <f t="array" ref="D57">_xlfn.IFS(OR(C57&lt;$M$36,AND(C57&gt;$M$37,C57&lt;=$M$5)),"-",C57&lt;=$M$36+(Annuity_Calc!$C$16),$M$9)</f>
        <v>-</v>
      </c>
      <c r="E57" s="16" cm="1">
        <f t="array" ref="E57">_xlfn.IFS(OR(C57&lt;$M$12,AND(C57&gt;$M$13,C57&lt;=$M$5)),"-",C57&lt;=$M$13,$M$14+(C57-$M$12)*$M$15)</f>
        <v>53000</v>
      </c>
      <c r="F57" s="16" cm="1">
        <f t="array" ref="F57">_xlfn.IFS(C57&lt;$M$36,"-",C57&lt;=$M$5,$M$18)</f>
        <v>7200</v>
      </c>
      <c r="G57" s="16" cm="1">
        <f t="array" ref="G57">_xlfn.IFS(OR(C57&lt;$M$21,AND(C57&gt;$M$22,C57&lt;=$M$5)),"-",C57&lt;=$M$22,C57*$M$23)</f>
        <v>93000</v>
      </c>
      <c r="H57" s="16" t="str" cm="1">
        <f t="array" ref="H57">_xlfn.IFS(OR(C57&lt;$M$36,AND(C57&lt;=$M$5,C57&gt;$M$37)),"-",ROUNDUP(C57&lt;=(($M$37+$M$36)/2),0),$M$26,C57&lt;=$M$37,$M$27)</f>
        <v>-</v>
      </c>
      <c r="I57" s="16" t="str" cm="1">
        <f t="array" ref="I57">_xlfn.IFS(OR(AND(C57&lt;=$M$5,C57&gt;$M$37),C57&lt;$M$36),"-",C57&lt;=$M$37,$M$30/($M$37-$M$36+1))</f>
        <v>-</v>
      </c>
      <c r="J57" s="16" t="str" cm="1">
        <f t="array" ref="J57">_xlfn.IFS(C57&lt;$M$36,"-",AND(ISEVEN($M$36),ISEVEN(C57),C57&lt;=$M$37),$M$33,AND(ISODD($M$36),ISODD(C57),C57&lt;=$M$37),$M$33,C57&lt;=$M$5,"-")</f>
        <v>-</v>
      </c>
    </row>
    <row r="58" spans="3:10" x14ac:dyDescent="0.25">
      <c r="C58" s="4">
        <v>94</v>
      </c>
      <c r="D58" s="16" t="str" cm="1">
        <f t="array" ref="D58">_xlfn.IFS(OR(C58&lt;$M$36,AND(C58&gt;$M$37,C58&lt;=$M$5)),"-",C58&lt;=$M$36+(Annuity_Calc!$C$16),$M$9)</f>
        <v>-</v>
      </c>
      <c r="E58" s="16" cm="1">
        <f t="array" ref="E58">_xlfn.IFS(OR(C58&lt;$M$12,AND(C58&gt;$M$13,C58&lt;=$M$5)),"-",C58&lt;=$M$13,$M$14+(C58-$M$12)*$M$15)</f>
        <v>54000</v>
      </c>
      <c r="F58" s="16" cm="1">
        <f t="array" ref="F58">_xlfn.IFS(C58&lt;$M$36,"-",C58&lt;=$M$5,$M$18)</f>
        <v>7200</v>
      </c>
      <c r="G58" s="16" cm="1">
        <f t="array" ref="G58">_xlfn.IFS(OR(C58&lt;$M$21,AND(C58&gt;$M$22,C58&lt;=$M$5)),"-",C58&lt;=$M$22,C58*$M$23)</f>
        <v>94000</v>
      </c>
      <c r="H58" s="16" t="str" cm="1">
        <f t="array" ref="H58">_xlfn.IFS(OR(C58&lt;$M$36,AND(C58&lt;=$M$5,C58&gt;$M$37)),"-",ROUNDUP(C58&lt;=(($M$37+$M$36)/2),0),$M$26,C58&lt;=$M$37,$M$27)</f>
        <v>-</v>
      </c>
      <c r="I58" s="16" t="str" cm="1">
        <f t="array" ref="I58">_xlfn.IFS(OR(AND(C58&lt;=$M$5,C58&gt;$M$37),C58&lt;$M$36),"-",C58&lt;=$M$37,$M$30/($M$37-$M$36+1))</f>
        <v>-</v>
      </c>
      <c r="J58" s="16" t="str" cm="1">
        <f t="array" ref="J58">_xlfn.IFS(C58&lt;$M$36,"-",AND(ISEVEN($M$36),ISEVEN(C58),C58&lt;=$M$37),$M$33,AND(ISODD($M$36),ISODD(C58),C58&lt;=$M$37),$M$33,C58&lt;=$M$5,"-")</f>
        <v>-</v>
      </c>
    </row>
    <row r="59" spans="3:10" x14ac:dyDescent="0.25">
      <c r="C59" s="4">
        <v>95</v>
      </c>
      <c r="D59" s="16" t="str" cm="1">
        <f t="array" ref="D59">_xlfn.IFS(OR(C59&lt;$M$36,AND(C59&gt;$M$37,C59&lt;=$M$5)),"-",C59&lt;=$M$36+(Annuity_Calc!$C$16),$M$9)</f>
        <v>-</v>
      </c>
      <c r="E59" s="16" t="str" cm="1">
        <f t="array" ref="E59">_xlfn.IFS(OR(C59&lt;$M$12,AND(C59&gt;$M$13,C59&lt;=$M$5)),"-",C59&lt;=$M$13,$M$14+(C59-$M$12)*$M$15)</f>
        <v>-</v>
      </c>
      <c r="F59" s="16" cm="1">
        <f t="array" ref="F59">_xlfn.IFS(C59&lt;$M$36,"-",C59&lt;=$M$5,$M$18)</f>
        <v>7200</v>
      </c>
      <c r="G59" s="16" cm="1">
        <f t="array" ref="G59">_xlfn.IFS(OR(C59&lt;$M$21,AND(C59&gt;$M$22,C59&lt;=$M$5)),"-",C59&lt;=$M$22,C59*$M$23)</f>
        <v>95000</v>
      </c>
      <c r="H59" s="16" t="str" cm="1">
        <f t="array" ref="H59">_xlfn.IFS(OR(C59&lt;$M$36,AND(C59&lt;=$M$5,C59&gt;$M$37)),"-",ROUNDUP(C59&lt;=(($M$37+$M$36)/2),0),$M$26,C59&lt;=$M$37,$M$27)</f>
        <v>-</v>
      </c>
      <c r="I59" s="16" t="str" cm="1">
        <f t="array" ref="I59">_xlfn.IFS(OR(AND(C59&lt;=$M$5,C59&gt;$M$37),C59&lt;$M$36),"-",C59&lt;=$M$37,$M$30/($M$37-$M$36+1))</f>
        <v>-</v>
      </c>
      <c r="J59" s="16" t="str" cm="1">
        <f t="array" ref="J59">_xlfn.IFS(C59&lt;$M$36,"-",AND(ISEVEN($M$36),ISEVEN(C59),C59&lt;=$M$37),$M$33,AND(ISODD($M$36),ISODD(C59),C59&lt;=$M$37),$M$33,C59&lt;=$M$5,"-")</f>
        <v>-</v>
      </c>
    </row>
    <row r="60" spans="3:10" x14ac:dyDescent="0.25">
      <c r="C60" s="4">
        <v>96</v>
      </c>
      <c r="D60" s="16" t="str" cm="1">
        <f t="array" ref="D60">_xlfn.IFS(OR(C60&lt;$M$36,AND(C60&gt;$M$37,C60&lt;=$M$5)),"-",C60&lt;=$M$36+(Annuity_Calc!$C$16),$M$9)</f>
        <v>-</v>
      </c>
      <c r="E60" s="16" t="str" cm="1">
        <f t="array" ref="E60">_xlfn.IFS(OR(C60&lt;$M$12,AND(C60&gt;$M$13,C60&lt;=$M$5)),"-",C60&lt;=$M$13,$M$14+(C60-$M$12)*$M$15)</f>
        <v>-</v>
      </c>
      <c r="F60" s="16" cm="1">
        <f t="array" ref="F60">_xlfn.IFS(C60&lt;$M$36,"-",C60&lt;=$M$5,$M$18)</f>
        <v>7200</v>
      </c>
      <c r="G60" s="16" cm="1">
        <f t="array" ref="G60">_xlfn.IFS(OR(C60&lt;$M$21,AND(C60&gt;$M$22,C60&lt;=$M$5)),"-",C60&lt;=$M$22,C60*$M$23)</f>
        <v>96000</v>
      </c>
      <c r="H60" s="16" t="str" cm="1">
        <f t="array" ref="H60">_xlfn.IFS(OR(C60&lt;$M$36,AND(C60&lt;=$M$5,C60&gt;$M$37)),"-",ROUNDUP(C60&lt;=(($M$37+$M$36)/2),0),$M$26,C60&lt;=$M$37,$M$27)</f>
        <v>-</v>
      </c>
      <c r="I60" s="16" t="str" cm="1">
        <f t="array" ref="I60">_xlfn.IFS(OR(AND(C60&lt;=$M$5,C60&gt;$M$37),C60&lt;$M$36),"-",C60&lt;=$M$37,$M$30/($M$37-$M$36+1))</f>
        <v>-</v>
      </c>
      <c r="J60" s="16" t="str" cm="1">
        <f t="array" ref="J60">_xlfn.IFS(C60&lt;$M$36,"-",AND(ISEVEN($M$36),ISEVEN(C60),C60&lt;=$M$37),$M$33,AND(ISODD($M$36),ISODD(C60),C60&lt;=$M$37),$M$33,C60&lt;=$M$5,"-")</f>
        <v>-</v>
      </c>
    </row>
    <row r="61" spans="3:10" x14ac:dyDescent="0.25">
      <c r="C61" s="4">
        <v>97</v>
      </c>
      <c r="D61" s="16" t="str" cm="1">
        <f t="array" ref="D61">_xlfn.IFS(OR(C61&lt;$M$36,AND(C61&gt;$M$37,C61&lt;=$M$5)),"-",C61&lt;=$M$36+(Annuity_Calc!$C$16),$M$9)</f>
        <v>-</v>
      </c>
      <c r="E61" s="16" t="str" cm="1">
        <f t="array" ref="E61">_xlfn.IFS(OR(C61&lt;$M$12,AND(C61&gt;$M$13,C61&lt;=$M$5)),"-",C61&lt;=$M$13,$M$14+(C61-$M$12)*$M$15)</f>
        <v>-</v>
      </c>
      <c r="F61" s="16" cm="1">
        <f t="array" ref="F61">_xlfn.IFS(C61&lt;$M$36,"-",C61&lt;=$M$5,$M$18)</f>
        <v>7200</v>
      </c>
      <c r="G61" s="16" cm="1">
        <f t="array" ref="G61">_xlfn.IFS(OR(C61&lt;$M$21,AND(C61&gt;$M$22,C61&lt;=$M$5)),"-",C61&lt;=$M$22,C61*$M$23)</f>
        <v>97000</v>
      </c>
      <c r="H61" s="16" t="str" cm="1">
        <f t="array" ref="H61">_xlfn.IFS(OR(C61&lt;$M$36,AND(C61&lt;=$M$5,C61&gt;$M$37)),"-",ROUNDUP(C61&lt;=(($M$37+$M$36)/2),0),$M$26,C61&lt;=$M$37,$M$27)</f>
        <v>-</v>
      </c>
      <c r="I61" s="16" t="str" cm="1">
        <f t="array" ref="I61">_xlfn.IFS(OR(AND(C61&lt;=$M$5,C61&gt;$M$37),C61&lt;$M$36),"-",C61&lt;=$M$37,$M$30/($M$37-$M$36+1))</f>
        <v>-</v>
      </c>
      <c r="J61" s="16" t="str" cm="1">
        <f t="array" ref="J61">_xlfn.IFS(C61&lt;$M$36,"-",AND(ISEVEN($M$36),ISEVEN(C61),C61&lt;=$M$37),$M$33,AND(ISODD($M$36),ISODD(C61),C61&lt;=$M$37),$M$33,C61&lt;=$M$5,"-")</f>
        <v>-</v>
      </c>
    </row>
    <row r="62" spans="3:10" x14ac:dyDescent="0.25">
      <c r="C62" s="4">
        <v>98</v>
      </c>
      <c r="D62" s="16" t="str" cm="1">
        <f t="array" ref="D62">_xlfn.IFS(OR(C62&lt;$M$36,AND(C62&gt;$M$37,C62&lt;=$M$5)),"-",C62&lt;=$M$36+(Annuity_Calc!$C$16),$M$9)</f>
        <v>-</v>
      </c>
      <c r="E62" s="16" t="str" cm="1">
        <f t="array" ref="E62">_xlfn.IFS(OR(C62&lt;$M$12,AND(C62&gt;$M$13,C62&lt;=$M$5)),"-",C62&lt;=$M$13,$M$14+(C62-$M$12)*$M$15)</f>
        <v>-</v>
      </c>
      <c r="F62" s="16" cm="1">
        <f t="array" ref="F62">_xlfn.IFS(C62&lt;$M$36,"-",C62&lt;=$M$5,$M$18)</f>
        <v>7200</v>
      </c>
      <c r="G62" s="16" cm="1">
        <f t="array" ref="G62">_xlfn.IFS(OR(C62&lt;$M$21,AND(C62&gt;$M$22,C62&lt;=$M$5)),"-",C62&lt;=$M$22,C62*$M$23)</f>
        <v>98000</v>
      </c>
      <c r="H62" s="16" t="str" cm="1">
        <f t="array" ref="H62">_xlfn.IFS(OR(C62&lt;$M$36,AND(C62&lt;=$M$5,C62&gt;$M$37)),"-",ROUNDUP(C62&lt;=(($M$37+$M$36)/2),0),$M$26,C62&lt;=$M$37,$M$27)</f>
        <v>-</v>
      </c>
      <c r="I62" s="16" t="str" cm="1">
        <f t="array" ref="I62">_xlfn.IFS(OR(AND(C62&lt;=$M$5,C62&gt;$M$37),C62&lt;$M$36),"-",C62&lt;=$M$37,$M$30/($M$37-$M$36+1))</f>
        <v>-</v>
      </c>
      <c r="J62" s="16" t="str" cm="1">
        <f t="array" ref="J62">_xlfn.IFS(C62&lt;$M$36,"-",AND(ISEVEN($M$36),ISEVEN(C62),C62&lt;=$M$37),$M$33,AND(ISODD($M$36),ISODD(C62),C62&lt;=$M$37),$M$33,C62&lt;=$M$5,"-")</f>
        <v>-</v>
      </c>
    </row>
    <row r="63" spans="3:10" x14ac:dyDescent="0.25">
      <c r="C63" s="4">
        <v>99</v>
      </c>
      <c r="D63" s="16" t="str" cm="1">
        <f t="array" ref="D63">_xlfn.IFS(OR(C63&lt;$M$36,AND(C63&gt;$M$37,C63&lt;=$M$5)),"-",C63&lt;=$M$36+(Annuity_Calc!$C$16),$M$9)</f>
        <v>-</v>
      </c>
      <c r="E63" s="16" t="str" cm="1">
        <f t="array" ref="E63">_xlfn.IFS(OR(C63&lt;$M$12,AND(C63&gt;$M$13,C63&lt;=$M$5)),"-",C63&lt;=$M$13,$M$14+(C63-$M$12)*$M$15)</f>
        <v>-</v>
      </c>
      <c r="F63" s="16" cm="1">
        <f t="array" ref="F63">_xlfn.IFS(C63&lt;$M$36,"-",C63&lt;=$M$5,$M$18)</f>
        <v>7200</v>
      </c>
      <c r="G63" s="16" cm="1">
        <f t="array" ref="G63">_xlfn.IFS(OR(C63&lt;$M$21,AND(C63&gt;$M$22,C63&lt;=$M$5)),"-",C63&lt;=$M$22,C63*$M$23)</f>
        <v>99000</v>
      </c>
      <c r="H63" s="16" t="str" cm="1">
        <f t="array" ref="H63">_xlfn.IFS(OR(C63&lt;$M$36,AND(C63&lt;=$M$5,C63&gt;$M$37)),"-",ROUNDUP(C63&lt;=(($M$37+$M$36)/2),0),$M$26,C63&lt;=$M$37,$M$27)</f>
        <v>-</v>
      </c>
      <c r="I63" s="16" t="str" cm="1">
        <f t="array" ref="I63">_xlfn.IFS(OR(AND(C63&lt;=$M$5,C63&gt;$M$37),C63&lt;$M$36),"-",C63&lt;=$M$37,$M$30/($M$37-$M$36+1))</f>
        <v>-</v>
      </c>
      <c r="J63" s="16" t="str" cm="1">
        <f t="array" ref="J63">_xlfn.IFS(C63&lt;$M$36,"-",AND(ISEVEN($M$36),ISEVEN(C63),C63&lt;=$M$37),$M$33,AND(ISODD($M$36),ISODD(C63),C63&lt;=$M$37),$M$33,C63&lt;=$M$5,"-")</f>
        <v>-</v>
      </c>
    </row>
    <row r="64" spans="3:10" x14ac:dyDescent="0.25">
      <c r="C64" s="4">
        <v>100</v>
      </c>
      <c r="D64" s="16" t="str" cm="1">
        <f t="array" ref="D64">_xlfn.IFS(OR(C64&lt;$M$36,AND(C64&gt;$M$37,C64&lt;=$M$5)),"-",C64&lt;=$M$36+(Annuity_Calc!$C$16),$M$9)</f>
        <v>-</v>
      </c>
      <c r="E64" s="16" t="str" cm="1">
        <f t="array" ref="E64">_xlfn.IFS(OR(C64&lt;$M$12,AND(C64&gt;$M$13,C64&lt;=$M$5)),"-",C64&lt;=$M$13,$M$14+(C64-$M$12)*$M$15)</f>
        <v>-</v>
      </c>
      <c r="F64" s="16" cm="1">
        <f t="array" ref="F64">_xlfn.IFS(C64&lt;$M$36,"-",C64&lt;=$M$5,$M$18)</f>
        <v>7200</v>
      </c>
      <c r="G64" s="16" cm="1">
        <f t="array" ref="G64">_xlfn.IFS(OR(C64&lt;$M$21,AND(C64&gt;$M$22,C64&lt;=$M$5)),"-",C64&lt;=$M$22,C64*$M$23)</f>
        <v>100000</v>
      </c>
      <c r="H64" s="16" t="str" cm="1">
        <f t="array" ref="H64">_xlfn.IFS(OR(C64&lt;$M$36,AND(C64&lt;=$M$5,C64&gt;$M$37)),"-",ROUNDUP(C64&lt;=(($M$37+$M$36)/2),0),$M$26,C64&lt;=$M$37,$M$27)</f>
        <v>-</v>
      </c>
      <c r="I64" s="16" t="str" cm="1">
        <f t="array" ref="I64">_xlfn.IFS(OR(AND(C64&lt;=$M$5,C64&gt;$M$37),C64&lt;$M$36),"-",C64&lt;=$M$37,$M$30/($M$37-$M$36+1))</f>
        <v>-</v>
      </c>
      <c r="J64" s="16" t="str" cm="1">
        <f t="array" ref="J64">_xlfn.IFS(C64&lt;$M$36,"-",AND(ISEVEN($M$36),ISEVEN(C64),C64&lt;=$M$37),$M$33,AND(ISODD($M$36),ISODD(C64),C64&lt;=$M$37),$M$33,C64&lt;=$M$5,"-")</f>
        <v>-</v>
      </c>
    </row>
    <row r="65" spans="3:10" x14ac:dyDescent="0.25">
      <c r="C65" s="4">
        <v>101</v>
      </c>
      <c r="D65" s="16" t="str" cm="1">
        <f t="array" ref="D65">_xlfn.IFS(OR(C65&lt;$M$36,AND(C65&gt;$M$37,C65&lt;=$M$5)),"-",C65&lt;=$M$36+(Annuity_Calc!$C$16),$M$9)</f>
        <v>-</v>
      </c>
      <c r="E65" s="16" t="str" cm="1">
        <f t="array" ref="E65">_xlfn.IFS(OR(C65&lt;$M$12,AND(C65&gt;$M$13,C65&lt;=$M$5)),"-",C65&lt;=$M$13,$M$14+(C65-$M$12)*$M$15)</f>
        <v>-</v>
      </c>
      <c r="F65" s="16" cm="1">
        <f t="array" ref="F65">_xlfn.IFS(C65&lt;$M$36,"-",C65&lt;=$M$5,$M$18)</f>
        <v>7200</v>
      </c>
      <c r="G65" s="16" t="str" cm="1">
        <f t="array" ref="G65">_xlfn.IFS(OR(C65&lt;$M$21,AND(C65&gt;$M$22,C65&lt;=$M$5)),"-",C65&lt;=$M$22,C65*$M$23)</f>
        <v>-</v>
      </c>
      <c r="H65" s="16" t="str" cm="1">
        <f t="array" ref="H65">_xlfn.IFS(OR(C65&lt;$M$36,AND(C65&lt;=$M$5,C65&gt;$M$37)),"-",ROUNDUP(C65&lt;=(($M$37+$M$36)/2),0),$M$26,C65&lt;=$M$37,$M$27)</f>
        <v>-</v>
      </c>
      <c r="I65" s="16" t="str" cm="1">
        <f t="array" ref="I65">_xlfn.IFS(OR(AND(C65&lt;=$M$5,C65&gt;$M$37),C65&lt;$M$36),"-",C65&lt;=$M$37,$M$30/($M$37-$M$36+1))</f>
        <v>-</v>
      </c>
      <c r="J65" s="16" t="str" cm="1">
        <f t="array" ref="J65">_xlfn.IFS(C65&lt;$M$36,"-",AND(ISEVEN($M$36),ISEVEN(C65),C65&lt;=$M$37),$M$33,AND(ISODD($M$36),ISODD(C65),C65&lt;=$M$37),$M$33,C65&lt;=$M$5,"-")</f>
        <v>-</v>
      </c>
    </row>
    <row r="66" spans="3:10" x14ac:dyDescent="0.25">
      <c r="C66" s="4">
        <v>102</v>
      </c>
      <c r="D66" s="16" t="str" cm="1">
        <f t="array" ref="D66">_xlfn.IFS(OR(C66&lt;$M$36,AND(C66&gt;$M$37,C66&lt;=$M$5)),"-",C66&lt;=$M$36+(Annuity_Calc!$C$16),$M$9)</f>
        <v>-</v>
      </c>
      <c r="E66" s="16" t="str" cm="1">
        <f t="array" ref="E66">_xlfn.IFS(OR(C66&lt;$M$12,AND(C66&gt;$M$13,C66&lt;=$M$5)),"-",C66&lt;=$M$13,$M$14+(C66-$M$12)*$M$15)</f>
        <v>-</v>
      </c>
      <c r="F66" s="16" cm="1">
        <f t="array" ref="F66">_xlfn.IFS(C66&lt;$M$36,"-",C66&lt;=$M$5,$M$18)</f>
        <v>7200</v>
      </c>
      <c r="G66" s="16" t="str" cm="1">
        <f t="array" ref="G66">_xlfn.IFS(OR(C66&lt;$M$21,AND(C66&gt;$M$22,C66&lt;=$M$5)),"-",C66&lt;=$M$22,C66*$M$23)</f>
        <v>-</v>
      </c>
      <c r="H66" s="16" t="str" cm="1">
        <f t="array" ref="H66">_xlfn.IFS(OR(C66&lt;$M$36,AND(C66&lt;=$M$5,C66&gt;$M$37)),"-",ROUNDUP(C66&lt;=(($M$37+$M$36)/2),0),$M$26,C66&lt;=$M$37,$M$27)</f>
        <v>-</v>
      </c>
      <c r="I66" s="16" t="str" cm="1">
        <f t="array" ref="I66">_xlfn.IFS(OR(AND(C66&lt;=$M$5,C66&gt;$M$37),C66&lt;$M$36),"-",C66&lt;=$M$37,$M$30/($M$37-$M$36+1))</f>
        <v>-</v>
      </c>
      <c r="J66" s="16" t="str" cm="1">
        <f t="array" ref="J66">_xlfn.IFS(C66&lt;$M$36,"-",AND(ISEVEN($M$36),ISEVEN(C66),C66&lt;=$M$37),$M$33,AND(ISODD($M$36),ISODD(C66),C66&lt;=$M$37),$M$33,C66&lt;=$M$5,"-")</f>
        <v>-</v>
      </c>
    </row>
    <row r="67" spans="3:10" x14ac:dyDescent="0.25">
      <c r="C67" s="4">
        <v>103</v>
      </c>
      <c r="D67" s="16" t="str" cm="1">
        <f t="array" ref="D67">_xlfn.IFS(OR(C67&lt;$M$36,AND(C67&gt;$M$37,C67&lt;=$M$5)),"-",C67&lt;=$M$36+(Annuity_Calc!$C$16),$M$9)</f>
        <v>-</v>
      </c>
      <c r="E67" s="16" t="str" cm="1">
        <f t="array" ref="E67">_xlfn.IFS(OR(C67&lt;$M$12,AND(C67&gt;$M$13,C67&lt;=$M$5)),"-",C67&lt;=$M$13,$M$14+(C67-$M$12)*$M$15)</f>
        <v>-</v>
      </c>
      <c r="F67" s="16" cm="1">
        <f t="array" ref="F67">_xlfn.IFS(C67&lt;$M$36,"-",C67&lt;=$M$5,$M$18)</f>
        <v>7200</v>
      </c>
      <c r="G67" s="16" t="str" cm="1">
        <f t="array" ref="G67">_xlfn.IFS(OR(C67&lt;$M$21,AND(C67&gt;$M$22,C67&lt;=$M$5)),"-",C67&lt;=$M$22,C67*$M$23)</f>
        <v>-</v>
      </c>
      <c r="H67" s="16" t="str" cm="1">
        <f t="array" ref="H67">_xlfn.IFS(OR(C67&lt;$M$36,AND(C67&lt;=$M$5,C67&gt;$M$37)),"-",ROUNDUP(C67&lt;=(($M$37+$M$36)/2),0),$M$26,C67&lt;=$M$37,$M$27)</f>
        <v>-</v>
      </c>
      <c r="I67" s="16" t="str" cm="1">
        <f t="array" ref="I67">_xlfn.IFS(OR(AND(C67&lt;=$M$5,C67&gt;$M$37),C67&lt;$M$36),"-",C67&lt;=$M$37,$M$30/($M$37-$M$36+1))</f>
        <v>-</v>
      </c>
      <c r="J67" s="16" t="str" cm="1">
        <f t="array" ref="J67">_xlfn.IFS(C67&lt;$M$36,"-",AND(ISEVEN($M$36),ISEVEN(C67),C67&lt;=$M$37),$M$33,AND(ISODD($M$36),ISODD(C67),C67&lt;=$M$37),$M$33,C67&lt;=$M$5,"-")</f>
        <v>-</v>
      </c>
    </row>
    <row r="68" spans="3:10" x14ac:dyDescent="0.25">
      <c r="C68" s="4">
        <v>104</v>
      </c>
      <c r="D68" s="16" t="str" cm="1">
        <f t="array" ref="D68">_xlfn.IFS(OR(C68&lt;$M$36,AND(C68&gt;$M$37,C68&lt;=$M$5)),"-",C68&lt;=$M$36+(Annuity_Calc!$C$16),$M$9)</f>
        <v>-</v>
      </c>
      <c r="E68" s="16" t="str" cm="1">
        <f t="array" ref="E68">_xlfn.IFS(OR(C68&lt;$M$12,AND(C68&gt;$M$13,C68&lt;=$M$5)),"-",C68&lt;=$M$13,$M$14+(C68-$M$12)*$M$15)</f>
        <v>-</v>
      </c>
      <c r="F68" s="16" cm="1">
        <f t="array" ref="F68">_xlfn.IFS(C68&lt;$M$36,"-",C68&lt;=$M$5,$M$18)</f>
        <v>7200</v>
      </c>
      <c r="G68" s="16" t="str" cm="1">
        <f t="array" ref="G68">_xlfn.IFS(OR(C68&lt;$M$21,AND(C68&gt;$M$22,C68&lt;=$M$5)),"-",C68&lt;=$M$22,C68*$M$23)</f>
        <v>-</v>
      </c>
      <c r="H68" s="16" t="str" cm="1">
        <f t="array" ref="H68">_xlfn.IFS(OR(C68&lt;$M$36,AND(C68&lt;=$M$5,C68&gt;$M$37)),"-",ROUNDUP(C68&lt;=(($M$37+$M$36)/2),0),$M$26,C68&lt;=$M$37,$M$27)</f>
        <v>-</v>
      </c>
      <c r="I68" s="16" t="str" cm="1">
        <f t="array" ref="I68">_xlfn.IFS(OR(AND(C68&lt;=$M$5,C68&gt;$M$37),C68&lt;$M$36),"-",C68&lt;=$M$37,$M$30/($M$37-$M$36+1))</f>
        <v>-</v>
      </c>
      <c r="J68" s="16" t="str" cm="1">
        <f t="array" ref="J68">_xlfn.IFS(C68&lt;$M$36,"-",AND(ISEVEN($M$36),ISEVEN(C68),C68&lt;=$M$37),$M$33,AND(ISODD($M$36),ISODD(C68),C68&lt;=$M$37),$M$33,C68&lt;=$M$5,"-")</f>
        <v>-</v>
      </c>
    </row>
    <row r="69" spans="3:10" x14ac:dyDescent="0.25">
      <c r="C69" s="4">
        <v>105</v>
      </c>
      <c r="D69" s="16" t="str" cm="1">
        <f t="array" ref="D69">_xlfn.IFS(OR(C69&lt;$M$36,AND(C69&gt;$M$37,C69&lt;=$M$5)),"-",C69&lt;=$M$36+(Annuity_Calc!$C$16),$M$9)</f>
        <v>-</v>
      </c>
      <c r="E69" s="16" t="str" cm="1">
        <f t="array" ref="E69">_xlfn.IFS(OR(C69&lt;$M$12,AND(C69&gt;$M$13,C69&lt;=$M$5)),"-",C69&lt;=$M$13,$M$14+(C69-$M$12)*$M$15)</f>
        <v>-</v>
      </c>
      <c r="F69" s="16" cm="1">
        <f t="array" ref="F69">_xlfn.IFS(C69&lt;$M$36,"-",C69&lt;=$M$5,$M$18)</f>
        <v>7200</v>
      </c>
      <c r="G69" s="16" t="str" cm="1">
        <f t="array" ref="G69">_xlfn.IFS(OR(C69&lt;$M$21,AND(C69&gt;$M$22,C69&lt;=$M$5)),"-",C69&lt;=$M$22,C69*$M$23)</f>
        <v>-</v>
      </c>
      <c r="H69" s="16" t="str" cm="1">
        <f t="array" ref="H69">_xlfn.IFS(OR(C69&lt;$M$36,AND(C69&lt;=$M$5,C69&gt;$M$37)),"-",ROUNDUP(C69&lt;=(($M$37+$M$36)/2),0),$M$26,C69&lt;=$M$37,$M$27)</f>
        <v>-</v>
      </c>
      <c r="I69" s="16" t="str" cm="1">
        <f t="array" ref="I69">_xlfn.IFS(OR(AND(C69&lt;=$M$5,C69&gt;$M$37),C69&lt;$M$36),"-",C69&lt;=$M$37,$M$30/($M$37-$M$36+1))</f>
        <v>-</v>
      </c>
      <c r="J69" s="16" t="str" cm="1">
        <f t="array" ref="J69">_xlfn.IFS(C69&lt;$M$36,"-",AND(ISEVEN($M$36),ISEVEN(C69),C69&lt;=$M$37),$M$33,AND(ISODD($M$36),ISODD(C69),C69&lt;=$M$37),$M$33,C69&lt;=$M$5,"-")</f>
        <v>-</v>
      </c>
    </row>
    <row r="70" spans="3:10" x14ac:dyDescent="0.25">
      <c r="C70" s="4">
        <v>106</v>
      </c>
      <c r="D70" s="16" t="str" cm="1">
        <f t="array" ref="D70">_xlfn.IFS(OR(C70&lt;$M$36,AND(C70&gt;$M$37,C70&lt;=$M$5)),"-",C70&lt;=$M$36+(Annuity_Calc!$C$16),$M$9)</f>
        <v>-</v>
      </c>
      <c r="E70" s="16" t="str" cm="1">
        <f t="array" ref="E70">_xlfn.IFS(OR(C70&lt;$M$12,AND(C70&gt;$M$13,C70&lt;=$M$5)),"-",C70&lt;=$M$13,$M$14+(C70-$M$12)*$M$15)</f>
        <v>-</v>
      </c>
      <c r="F70" s="16" cm="1">
        <f t="array" ref="F70">_xlfn.IFS(C70&lt;$M$36,"-",C70&lt;=$M$5,$M$18)</f>
        <v>7200</v>
      </c>
      <c r="G70" s="16" t="str" cm="1">
        <f t="array" ref="G70">_xlfn.IFS(OR(C70&lt;$M$21,AND(C70&gt;$M$22,C70&lt;=$M$5)),"-",C70&lt;=$M$22,C70*$M$23)</f>
        <v>-</v>
      </c>
      <c r="H70" s="16" t="str" cm="1">
        <f t="array" ref="H70">_xlfn.IFS(OR(C70&lt;$M$36,AND(C70&lt;=$M$5,C70&gt;$M$37)),"-",ROUNDUP(C70&lt;=(($M$37+$M$36)/2),0),$M$26,C70&lt;=$M$37,$M$27)</f>
        <v>-</v>
      </c>
      <c r="I70" s="16" t="str" cm="1">
        <f t="array" ref="I70">_xlfn.IFS(OR(AND(C70&lt;=$M$5,C70&gt;$M$37),C70&lt;$M$36),"-",C70&lt;=$M$37,$M$30/($M$37-$M$36+1))</f>
        <v>-</v>
      </c>
      <c r="J70" s="16" t="str" cm="1">
        <f t="array" ref="J70">_xlfn.IFS(C70&lt;$M$36,"-",AND(ISEVEN($M$36),ISEVEN(C70),C70&lt;=$M$37),$M$33,AND(ISODD($M$36),ISODD(C70),C70&lt;=$M$37),$M$33,C70&lt;=$M$5,"-")</f>
        <v>-</v>
      </c>
    </row>
    <row r="71" spans="3:10" x14ac:dyDescent="0.25">
      <c r="C71" s="4">
        <v>107</v>
      </c>
      <c r="D71" s="16" t="str" cm="1">
        <f t="array" ref="D71">_xlfn.IFS(OR(C71&lt;$M$36,AND(C71&gt;$M$37,C71&lt;=$M$5)),"-",C71&lt;=$M$36+(Annuity_Calc!$C$16),$M$9)</f>
        <v>-</v>
      </c>
      <c r="E71" s="16" t="str" cm="1">
        <f t="array" ref="E71">_xlfn.IFS(OR(C71&lt;$M$12,AND(C71&gt;$M$13,C71&lt;=$M$5)),"-",C71&lt;=$M$13,$M$14+(C71-$M$12)*$M$15)</f>
        <v>-</v>
      </c>
      <c r="F71" s="16" cm="1">
        <f t="array" ref="F71">_xlfn.IFS(C71&lt;$M$36,"-",C71&lt;=$M$5,$M$18)</f>
        <v>7200</v>
      </c>
      <c r="G71" s="16" t="str" cm="1">
        <f t="array" ref="G71">_xlfn.IFS(OR(C71&lt;$M$21,AND(C71&gt;$M$22,C71&lt;=$M$5)),"-",C71&lt;=$M$22,C71*$M$23)</f>
        <v>-</v>
      </c>
      <c r="H71" s="16" t="str" cm="1">
        <f t="array" ref="H71">_xlfn.IFS(OR(C71&lt;$M$36,AND(C71&lt;=$M$5,C71&gt;$M$37)),"-",ROUNDUP(C71&lt;=(($M$37+$M$36)/2),0),$M$26,C71&lt;=$M$37,$M$27)</f>
        <v>-</v>
      </c>
      <c r="I71" s="16" t="str" cm="1">
        <f t="array" ref="I71">_xlfn.IFS(OR(AND(C71&lt;=$M$5,C71&gt;$M$37),C71&lt;$M$36),"-",C71&lt;=$M$37,$M$30/($M$37-$M$36+1))</f>
        <v>-</v>
      </c>
      <c r="J71" s="16" t="str" cm="1">
        <f t="array" ref="J71">_xlfn.IFS(C71&lt;$M$36,"-",AND(ISEVEN($M$36),ISEVEN(C71),C71&lt;=$M$37),$M$33,AND(ISODD($M$36),ISODD(C71),C71&lt;=$M$37),$M$33,C71&lt;=$M$5,"-")</f>
        <v>-</v>
      </c>
    </row>
    <row r="72" spans="3:10" x14ac:dyDescent="0.25">
      <c r="C72" s="4">
        <v>108</v>
      </c>
      <c r="D72" s="16" t="str" cm="1">
        <f t="array" ref="D72">_xlfn.IFS(OR(C72&lt;$M$36,AND(C72&gt;$M$37,C72&lt;=$M$5)),"-",C72&lt;=$M$36+(Annuity_Calc!$C$16),$M$9)</f>
        <v>-</v>
      </c>
      <c r="E72" s="16" t="str" cm="1">
        <f t="array" ref="E72">_xlfn.IFS(OR(C72&lt;$M$12,AND(C72&gt;$M$13,C72&lt;=$M$5)),"-",C72&lt;=$M$13,$M$14+(C72-$M$12)*$M$15)</f>
        <v>-</v>
      </c>
      <c r="F72" s="16" cm="1">
        <f t="array" ref="F72">_xlfn.IFS(C72&lt;$M$36,"-",C72&lt;=$M$5,$M$18)</f>
        <v>7200</v>
      </c>
      <c r="G72" s="16" t="str" cm="1">
        <f t="array" ref="G72">_xlfn.IFS(OR(C72&lt;$M$21,AND(C72&gt;$M$22,C72&lt;=$M$5)),"-",C72&lt;=$M$22,C72*$M$23)</f>
        <v>-</v>
      </c>
      <c r="H72" s="16" t="str" cm="1">
        <f t="array" ref="H72">_xlfn.IFS(OR(C72&lt;$M$36,AND(C72&lt;=$M$5,C72&gt;$M$37)),"-",ROUNDUP(C72&lt;=(($M$37+$M$36)/2),0),$M$26,C72&lt;=$M$37,$M$27)</f>
        <v>-</v>
      </c>
      <c r="I72" s="16" t="str" cm="1">
        <f t="array" ref="I72">_xlfn.IFS(OR(AND(C72&lt;=$M$5,C72&gt;$M$37),C72&lt;$M$36),"-",C72&lt;=$M$37,$M$30/($M$37-$M$36+1))</f>
        <v>-</v>
      </c>
      <c r="J72" s="16" t="str" cm="1">
        <f t="array" ref="J72">_xlfn.IFS(C72&lt;$M$36,"-",AND(ISEVEN($M$36),ISEVEN(C72),C72&lt;=$M$37),$M$33,AND(ISODD($M$36),ISODD(C72),C72&lt;=$M$37),$M$33,C72&lt;=$M$5,"-")</f>
        <v>-</v>
      </c>
    </row>
    <row r="73" spans="3:10" x14ac:dyDescent="0.25">
      <c r="C73" s="4">
        <v>109</v>
      </c>
      <c r="D73" s="16" t="str" cm="1">
        <f t="array" ref="D73">_xlfn.IFS(OR(C73&lt;$M$36,AND(C73&gt;$M$37,C73&lt;=$M$5)),"-",C73&lt;=$M$36+(Annuity_Calc!$C$16),$M$9)</f>
        <v>-</v>
      </c>
      <c r="E73" s="16" t="str" cm="1">
        <f t="array" ref="E73">_xlfn.IFS(OR(C73&lt;$M$12,AND(C73&gt;$M$13,C73&lt;=$M$5)),"-",C73&lt;=$M$13,$M$14+(C73-$M$12)*$M$15)</f>
        <v>-</v>
      </c>
      <c r="F73" s="16" cm="1">
        <f t="array" ref="F73">_xlfn.IFS(C73&lt;$M$36,"-",C73&lt;=$M$5,$M$18)</f>
        <v>7200</v>
      </c>
      <c r="G73" s="16" t="str" cm="1">
        <f t="array" ref="G73">_xlfn.IFS(OR(C73&lt;$M$21,AND(C73&gt;$M$22,C73&lt;=$M$5)),"-",C73&lt;=$M$22,C73*$M$23)</f>
        <v>-</v>
      </c>
      <c r="H73" s="16" t="str" cm="1">
        <f t="array" ref="H73">_xlfn.IFS(OR(C73&lt;$M$36,AND(C73&lt;=$M$5,C73&gt;$M$37)),"-",ROUNDUP(C73&lt;=(($M$37+$M$36)/2),0),$M$26,C73&lt;=$M$37,$M$27)</f>
        <v>-</v>
      </c>
      <c r="I73" s="16" t="str" cm="1">
        <f t="array" ref="I73">_xlfn.IFS(OR(AND(C73&lt;=$M$5,C73&gt;$M$37),C73&lt;$M$36),"-",C73&lt;=$M$37,$M$30/($M$37-$M$36+1))</f>
        <v>-</v>
      </c>
      <c r="J73" s="16" t="str" cm="1">
        <f t="array" ref="J73">_xlfn.IFS(C73&lt;$M$36,"-",AND(ISEVEN($M$36),ISEVEN(C73),C73&lt;=$M$37),$M$33,AND(ISODD($M$36),ISODD(C73),C73&lt;=$M$37),$M$33,C73&lt;=$M$5,"-")</f>
        <v>-</v>
      </c>
    </row>
    <row r="74" spans="3:10" x14ac:dyDescent="0.25">
      <c r="C74" s="4">
        <v>110</v>
      </c>
      <c r="D74" s="16" t="str" cm="1">
        <f t="array" ref="D74">_xlfn.IFS(OR(C74&lt;$M$36,AND(C74&gt;$M$37,C74&lt;=$M$5)),"-",C74&lt;=$M$36+(Annuity_Calc!$C$16),$M$9)</f>
        <v>-</v>
      </c>
      <c r="E74" s="16" t="str" cm="1">
        <f t="array" ref="E74">_xlfn.IFS(OR(C74&lt;$M$12,AND(C74&gt;$M$13,C74&lt;=$M$5)),"-",C74&lt;=$M$13,$M$14+(C74-$M$12)*$M$15)</f>
        <v>-</v>
      </c>
      <c r="F74" s="16" cm="1">
        <f t="array" ref="F74">_xlfn.IFS(C74&lt;$M$36,"-",C74&lt;=$M$5,$M$18)</f>
        <v>7200</v>
      </c>
      <c r="G74" s="16" t="str" cm="1">
        <f t="array" ref="G74">_xlfn.IFS(OR(C74&lt;$M$21,AND(C74&gt;$M$22,C74&lt;=$M$5)),"-",C74&lt;=$M$22,C74*$M$23)</f>
        <v>-</v>
      </c>
      <c r="H74" s="16" t="str" cm="1">
        <f t="array" ref="H74">_xlfn.IFS(OR(C74&lt;$M$36,AND(C74&lt;=$M$5,C74&gt;$M$37)),"-",ROUNDUP(C74&lt;=(($M$37+$M$36)/2),0),$M$26,C74&lt;=$M$37,$M$27)</f>
        <v>-</v>
      </c>
      <c r="I74" s="16" t="str" cm="1">
        <f t="array" ref="I74">_xlfn.IFS(OR(AND(C74&lt;=$M$5,C74&gt;$M$37),C74&lt;$M$36),"-",C74&lt;=$M$37,$M$30/($M$37-$M$36+1))</f>
        <v>-</v>
      </c>
      <c r="J74" s="16" t="str" cm="1">
        <f t="array" ref="J74">_xlfn.IFS(C74&lt;$M$36,"-",AND(ISEVEN($M$36),ISEVEN(C74),C74&lt;=$M$37),$M$33,AND(ISODD($M$36),ISODD(C74),C74&lt;=$M$37),$M$33,C74&lt;=$M$5,"-")</f>
        <v>-</v>
      </c>
    </row>
  </sheetData>
  <mergeCells count="1">
    <mergeCell ref="D2:J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6FB97-B7E8-4D25-8329-B4BBA49F2E4E}">
  <sheetPr codeName="Sheet7"/>
  <dimension ref="A1:CW73"/>
  <sheetViews>
    <sheetView zoomScale="70" zoomScaleNormal="70" workbookViewId="0">
      <selection activeCell="S50" sqref="S50"/>
    </sheetView>
  </sheetViews>
  <sheetFormatPr defaultRowHeight="15" x14ac:dyDescent="0.25"/>
  <cols>
    <col min="1" max="1" width="5.85546875" style="5" bestFit="1" customWidth="1"/>
    <col min="2" max="2" width="9.5703125" bestFit="1" customWidth="1"/>
    <col min="3" max="3" width="10.140625" bestFit="1" customWidth="1"/>
    <col min="4" max="7" width="10" bestFit="1" customWidth="1"/>
    <col min="8" max="8" width="10.140625" bestFit="1" customWidth="1"/>
    <col min="9" max="9" width="10" bestFit="1" customWidth="1"/>
    <col min="10" max="10" width="10.140625" bestFit="1" customWidth="1"/>
    <col min="11" max="11" width="10.7109375" bestFit="1" customWidth="1"/>
    <col min="12" max="12" width="10.28515625" bestFit="1" customWidth="1"/>
    <col min="13" max="20" width="10.7109375" bestFit="1" customWidth="1"/>
    <col min="21" max="21" width="11.140625" bestFit="1" customWidth="1"/>
    <col min="22" max="22" width="10.7109375" bestFit="1" customWidth="1"/>
    <col min="23" max="31" width="11.140625" bestFit="1" customWidth="1"/>
    <col min="32" max="32" width="10.7109375" bestFit="1" customWidth="1"/>
    <col min="33" max="41" width="11.140625" bestFit="1" customWidth="1"/>
    <col min="42" max="42" width="10.7109375" bestFit="1" customWidth="1"/>
    <col min="43" max="51" width="11.140625" bestFit="1" customWidth="1"/>
    <col min="52" max="52" width="10.7109375" bestFit="1" customWidth="1"/>
    <col min="53" max="61" width="11.140625" bestFit="1" customWidth="1"/>
    <col min="62" max="62" width="10.7109375" bestFit="1" customWidth="1"/>
    <col min="63" max="71" width="11.140625" bestFit="1" customWidth="1"/>
    <col min="72" max="72" width="10.7109375" bestFit="1" customWidth="1"/>
    <col min="73" max="81" width="11.140625" bestFit="1" customWidth="1"/>
    <col min="82" max="82" width="10.7109375" bestFit="1" customWidth="1"/>
    <col min="83" max="91" width="11.140625" bestFit="1" customWidth="1"/>
    <col min="92" max="92" width="10.7109375" bestFit="1" customWidth="1"/>
    <col min="93" max="100" width="11.140625" bestFit="1" customWidth="1"/>
    <col min="101" max="101" width="12" bestFit="1" customWidth="1"/>
  </cols>
  <sheetData>
    <row r="1" spans="1:101" x14ac:dyDescent="0.25">
      <c r="A1" s="13" t="s">
        <v>0</v>
      </c>
      <c r="B1" s="1" t="s">
        <v>32</v>
      </c>
      <c r="C1" s="1" t="s">
        <v>33</v>
      </c>
      <c r="D1" s="1" t="s">
        <v>34</v>
      </c>
      <c r="E1" s="1" t="s">
        <v>35</v>
      </c>
      <c r="F1" s="1" t="s">
        <v>36</v>
      </c>
      <c r="G1" s="1" t="s">
        <v>37</v>
      </c>
      <c r="H1" s="1" t="s">
        <v>38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44</v>
      </c>
      <c r="O1" s="1" t="s">
        <v>45</v>
      </c>
      <c r="P1" s="1" t="s">
        <v>46</v>
      </c>
      <c r="Q1" s="1" t="s">
        <v>47</v>
      </c>
      <c r="R1" s="1" t="s">
        <v>48</v>
      </c>
      <c r="S1" s="1" t="s">
        <v>49</v>
      </c>
      <c r="T1" s="1" t="s">
        <v>50</v>
      </c>
      <c r="U1" s="1" t="s">
        <v>51</v>
      </c>
      <c r="V1" s="1" t="s">
        <v>52</v>
      </c>
      <c r="W1" s="1" t="s">
        <v>53</v>
      </c>
      <c r="X1" s="1" t="s">
        <v>54</v>
      </c>
      <c r="Y1" s="1" t="s">
        <v>55</v>
      </c>
      <c r="Z1" s="1" t="s">
        <v>56</v>
      </c>
      <c r="AA1" s="1" t="s">
        <v>57</v>
      </c>
      <c r="AB1" s="1" t="s">
        <v>58</v>
      </c>
      <c r="AC1" s="1" t="s">
        <v>59</v>
      </c>
      <c r="AD1" s="1" t="s">
        <v>60</v>
      </c>
      <c r="AE1" s="1" t="s">
        <v>61</v>
      </c>
      <c r="AF1" s="1" t="s">
        <v>62</v>
      </c>
      <c r="AG1" s="1" t="s">
        <v>63</v>
      </c>
      <c r="AH1" s="1" t="s">
        <v>64</v>
      </c>
      <c r="AI1" s="1" t="s">
        <v>65</v>
      </c>
      <c r="AJ1" s="1" t="s">
        <v>66</v>
      </c>
      <c r="AK1" s="1" t="s">
        <v>67</v>
      </c>
      <c r="AL1" s="1" t="s">
        <v>68</v>
      </c>
      <c r="AM1" s="1" t="s">
        <v>69</v>
      </c>
      <c r="AN1" s="1" t="s">
        <v>70</v>
      </c>
      <c r="AO1" s="1" t="s">
        <v>71</v>
      </c>
      <c r="AP1" s="1" t="s">
        <v>72</v>
      </c>
      <c r="AQ1" s="1" t="s">
        <v>73</v>
      </c>
      <c r="AR1" s="1" t="s">
        <v>74</v>
      </c>
      <c r="AS1" s="1" t="s">
        <v>75</v>
      </c>
      <c r="AT1" s="1" t="s">
        <v>76</v>
      </c>
      <c r="AU1" s="1" t="s">
        <v>77</v>
      </c>
      <c r="AV1" s="1" t="s">
        <v>78</v>
      </c>
      <c r="AW1" s="1" t="s">
        <v>79</v>
      </c>
      <c r="AX1" s="1" t="s">
        <v>80</v>
      </c>
      <c r="AY1" s="1" t="s">
        <v>81</v>
      </c>
      <c r="AZ1" s="1" t="s">
        <v>82</v>
      </c>
      <c r="BA1" s="1" t="s">
        <v>83</v>
      </c>
      <c r="BB1" s="1" t="s">
        <v>84</v>
      </c>
      <c r="BC1" s="1" t="s">
        <v>85</v>
      </c>
      <c r="BD1" s="1" t="s">
        <v>86</v>
      </c>
      <c r="BE1" s="1" t="s">
        <v>87</v>
      </c>
      <c r="BF1" s="1" t="s">
        <v>88</v>
      </c>
      <c r="BG1" s="1" t="s">
        <v>89</v>
      </c>
      <c r="BH1" s="1" t="s">
        <v>90</v>
      </c>
      <c r="BI1" s="1" t="s">
        <v>91</v>
      </c>
      <c r="BJ1" s="1" t="s">
        <v>92</v>
      </c>
      <c r="BK1" s="1" t="s">
        <v>93</v>
      </c>
      <c r="BL1" s="1" t="s">
        <v>94</v>
      </c>
      <c r="BM1" s="1" t="s">
        <v>95</v>
      </c>
      <c r="BN1" s="1" t="s">
        <v>96</v>
      </c>
      <c r="BO1" s="1" t="s">
        <v>97</v>
      </c>
      <c r="BP1" s="1" t="s">
        <v>98</v>
      </c>
      <c r="BQ1" s="1" t="s">
        <v>99</v>
      </c>
      <c r="BR1" s="1" t="s">
        <v>100</v>
      </c>
      <c r="BS1" s="1" t="s">
        <v>101</v>
      </c>
      <c r="BT1" s="1" t="s">
        <v>102</v>
      </c>
      <c r="BU1" s="1" t="s">
        <v>103</v>
      </c>
      <c r="BV1" s="1" t="s">
        <v>104</v>
      </c>
      <c r="BW1" s="1" t="s">
        <v>105</v>
      </c>
      <c r="BX1" s="1" t="s">
        <v>106</v>
      </c>
      <c r="BY1" s="1" t="s">
        <v>107</v>
      </c>
      <c r="BZ1" s="1" t="s">
        <v>108</v>
      </c>
      <c r="CA1" s="1" t="s">
        <v>109</v>
      </c>
      <c r="CB1" s="1" t="s">
        <v>110</v>
      </c>
      <c r="CC1" s="1" t="s">
        <v>111</v>
      </c>
      <c r="CD1" s="1" t="s">
        <v>112</v>
      </c>
      <c r="CE1" s="1" t="s">
        <v>113</v>
      </c>
      <c r="CF1" s="1" t="s">
        <v>114</v>
      </c>
      <c r="CG1" s="1" t="s">
        <v>115</v>
      </c>
      <c r="CH1" s="1" t="s">
        <v>116</v>
      </c>
      <c r="CI1" s="1" t="s">
        <v>117</v>
      </c>
      <c r="CJ1" s="1" t="s">
        <v>118</v>
      </c>
      <c r="CK1" s="1" t="s">
        <v>119</v>
      </c>
      <c r="CL1" s="1" t="s">
        <v>120</v>
      </c>
      <c r="CM1" s="1" t="s">
        <v>121</v>
      </c>
      <c r="CN1" s="1" t="s">
        <v>122</v>
      </c>
      <c r="CO1" s="1" t="s">
        <v>123</v>
      </c>
      <c r="CP1" s="1" t="s">
        <v>124</v>
      </c>
      <c r="CQ1" s="1" t="s">
        <v>125</v>
      </c>
      <c r="CR1" s="1" t="s">
        <v>126</v>
      </c>
      <c r="CS1" s="1" t="s">
        <v>127</v>
      </c>
      <c r="CT1" s="1" t="s">
        <v>128</v>
      </c>
      <c r="CU1" s="1" t="s">
        <v>129</v>
      </c>
      <c r="CV1" s="1" t="s">
        <v>130</v>
      </c>
      <c r="CW1" s="1" t="s">
        <v>131</v>
      </c>
    </row>
    <row r="2" spans="1:101" s="24" customFormat="1" x14ac:dyDescent="0.25">
      <c r="B2" s="15">
        <v>5</v>
      </c>
      <c r="C2" s="15">
        <v>4</v>
      </c>
      <c r="D2" s="15">
        <v>3</v>
      </c>
      <c r="E2" s="15">
        <v>1</v>
      </c>
      <c r="F2" s="15">
        <v>2</v>
      </c>
      <c r="G2" s="15">
        <v>2</v>
      </c>
      <c r="H2" s="15">
        <v>4</v>
      </c>
      <c r="I2" s="15">
        <v>3</v>
      </c>
      <c r="J2" s="15">
        <v>4</v>
      </c>
      <c r="K2" s="15">
        <v>5</v>
      </c>
      <c r="L2" s="15">
        <v>7</v>
      </c>
      <c r="M2" s="15">
        <v>1</v>
      </c>
      <c r="N2" s="15">
        <v>1</v>
      </c>
      <c r="O2" s="15">
        <v>1</v>
      </c>
      <c r="P2" s="15">
        <v>6</v>
      </c>
      <c r="Q2" s="15">
        <v>7</v>
      </c>
      <c r="R2" s="15">
        <v>5</v>
      </c>
      <c r="S2" s="15">
        <v>2</v>
      </c>
      <c r="T2" s="15">
        <v>2</v>
      </c>
      <c r="U2" s="15">
        <v>3</v>
      </c>
      <c r="V2" s="15">
        <v>6</v>
      </c>
      <c r="W2" s="15">
        <v>4</v>
      </c>
      <c r="X2" s="15">
        <v>1</v>
      </c>
      <c r="Y2" s="15">
        <v>5</v>
      </c>
      <c r="Z2" s="15">
        <v>7</v>
      </c>
      <c r="AA2" s="15">
        <v>5</v>
      </c>
      <c r="AB2" s="15">
        <v>1</v>
      </c>
      <c r="AC2" s="15">
        <v>3</v>
      </c>
      <c r="AD2" s="15">
        <v>7</v>
      </c>
      <c r="AE2" s="15">
        <v>1</v>
      </c>
      <c r="AF2" s="15">
        <v>1</v>
      </c>
      <c r="AG2" s="15">
        <v>1</v>
      </c>
      <c r="AH2" s="15">
        <v>1</v>
      </c>
      <c r="AI2" s="15">
        <v>5</v>
      </c>
      <c r="AJ2" s="15">
        <v>1</v>
      </c>
      <c r="AK2" s="15">
        <v>1</v>
      </c>
      <c r="AL2" s="15">
        <v>2</v>
      </c>
      <c r="AM2" s="15">
        <v>2</v>
      </c>
      <c r="AN2" s="15">
        <v>3</v>
      </c>
      <c r="AO2" s="15">
        <v>1</v>
      </c>
      <c r="AP2" s="15">
        <v>2</v>
      </c>
      <c r="AQ2" s="15">
        <v>2</v>
      </c>
      <c r="AR2" s="15">
        <v>7</v>
      </c>
      <c r="AS2" s="15">
        <v>6</v>
      </c>
      <c r="AT2" s="15">
        <v>4</v>
      </c>
      <c r="AU2" s="15">
        <v>7</v>
      </c>
      <c r="AV2" s="15">
        <v>6</v>
      </c>
      <c r="AW2" s="15">
        <v>2</v>
      </c>
      <c r="AX2" s="15">
        <v>6</v>
      </c>
      <c r="AY2" s="15">
        <v>7</v>
      </c>
      <c r="AZ2" s="15">
        <v>5</v>
      </c>
      <c r="BA2" s="15">
        <v>3</v>
      </c>
      <c r="BB2" s="15">
        <v>3</v>
      </c>
      <c r="BC2" s="15">
        <v>1</v>
      </c>
      <c r="BD2" s="15">
        <v>4</v>
      </c>
      <c r="BE2" s="15">
        <v>2</v>
      </c>
      <c r="BF2" s="15">
        <v>3</v>
      </c>
      <c r="BG2" s="15">
        <v>3</v>
      </c>
      <c r="BH2" s="15">
        <v>4</v>
      </c>
      <c r="BI2" s="15">
        <v>1</v>
      </c>
      <c r="BJ2" s="15">
        <v>1</v>
      </c>
      <c r="BK2" s="15">
        <v>7</v>
      </c>
      <c r="BL2" s="15">
        <v>4</v>
      </c>
      <c r="BM2" s="15">
        <v>2</v>
      </c>
      <c r="BN2" s="15">
        <v>1</v>
      </c>
      <c r="BO2" s="15">
        <v>7</v>
      </c>
      <c r="BP2" s="15">
        <v>2</v>
      </c>
      <c r="BQ2" s="15">
        <v>2</v>
      </c>
      <c r="BR2" s="15">
        <v>3</v>
      </c>
      <c r="BS2" s="15">
        <v>7</v>
      </c>
      <c r="BT2" s="15">
        <v>7</v>
      </c>
      <c r="BU2" s="15">
        <v>1</v>
      </c>
      <c r="BV2" s="15">
        <v>4</v>
      </c>
      <c r="BW2" s="15">
        <v>5</v>
      </c>
      <c r="BX2" s="15">
        <v>3</v>
      </c>
      <c r="BY2" s="15">
        <v>3</v>
      </c>
      <c r="BZ2" s="15">
        <v>1</v>
      </c>
      <c r="CA2" s="15">
        <v>3</v>
      </c>
      <c r="CB2" s="15">
        <v>2</v>
      </c>
      <c r="CC2" s="15">
        <v>3</v>
      </c>
      <c r="CD2" s="15">
        <v>7</v>
      </c>
      <c r="CE2" s="15">
        <v>3</v>
      </c>
      <c r="CF2" s="15">
        <v>5</v>
      </c>
      <c r="CG2" s="15">
        <v>2</v>
      </c>
      <c r="CH2" s="15">
        <v>1</v>
      </c>
      <c r="CI2" s="15">
        <v>7</v>
      </c>
      <c r="CJ2" s="15">
        <v>7</v>
      </c>
      <c r="CK2" s="15">
        <v>1</v>
      </c>
      <c r="CL2" s="15">
        <v>2</v>
      </c>
      <c r="CM2" s="15">
        <v>2</v>
      </c>
      <c r="CN2" s="15">
        <v>3</v>
      </c>
      <c r="CO2" s="15">
        <v>3</v>
      </c>
      <c r="CP2" s="15">
        <v>7</v>
      </c>
      <c r="CQ2" s="15">
        <v>3</v>
      </c>
      <c r="CR2" s="15">
        <v>3</v>
      </c>
      <c r="CS2" s="15">
        <v>3</v>
      </c>
      <c r="CT2" s="15">
        <v>1</v>
      </c>
      <c r="CU2" s="15">
        <v>3</v>
      </c>
      <c r="CV2" s="15">
        <v>3</v>
      </c>
      <c r="CW2" s="15">
        <v>3</v>
      </c>
    </row>
    <row r="3" spans="1:101" s="24" customFormat="1" x14ac:dyDescent="0.25">
      <c r="A3" s="13" cm="1">
        <f t="array" ref="A3:A73">_xlfn.SEQUENCE(71,1,40,1)</f>
        <v>40</v>
      </c>
      <c r="B3" s="16" t="s">
        <v>138</v>
      </c>
      <c r="C3" s="16" t="s">
        <v>138</v>
      </c>
      <c r="D3" s="16" t="s">
        <v>138</v>
      </c>
      <c r="E3" s="16" t="s">
        <v>138</v>
      </c>
      <c r="F3" s="16" t="s">
        <v>138</v>
      </c>
      <c r="G3" s="16" t="s">
        <v>138</v>
      </c>
      <c r="H3" s="16" t="s">
        <v>138</v>
      </c>
      <c r="I3" s="16" t="s">
        <v>138</v>
      </c>
      <c r="J3" s="16" t="s">
        <v>138</v>
      </c>
      <c r="K3" s="16" t="s">
        <v>138</v>
      </c>
      <c r="L3" s="16" t="s">
        <v>138</v>
      </c>
      <c r="M3" s="16" t="s">
        <v>138</v>
      </c>
      <c r="N3" s="16" t="s">
        <v>138</v>
      </c>
      <c r="O3" s="16" t="s">
        <v>138</v>
      </c>
      <c r="P3" s="16" t="s">
        <v>138</v>
      </c>
      <c r="Q3" s="16" t="s">
        <v>138</v>
      </c>
      <c r="R3" s="16" t="s">
        <v>138</v>
      </c>
      <c r="S3" s="16" t="s">
        <v>138</v>
      </c>
      <c r="T3" s="16" t="s">
        <v>138</v>
      </c>
      <c r="U3" s="16" t="s">
        <v>138</v>
      </c>
      <c r="V3" s="16" t="s">
        <v>138</v>
      </c>
      <c r="W3" s="16" t="s">
        <v>138</v>
      </c>
      <c r="X3" s="16" t="s">
        <v>138</v>
      </c>
      <c r="Y3" s="16" t="s">
        <v>138</v>
      </c>
      <c r="Z3" s="16" t="s">
        <v>138</v>
      </c>
      <c r="AA3" s="16" t="s">
        <v>138</v>
      </c>
      <c r="AB3" s="16" t="s">
        <v>138</v>
      </c>
      <c r="AC3" s="16" t="s">
        <v>138</v>
      </c>
      <c r="AD3" s="16" t="s">
        <v>138</v>
      </c>
      <c r="AE3" s="16" t="s">
        <v>138</v>
      </c>
      <c r="AF3" s="16" t="s">
        <v>138</v>
      </c>
      <c r="AG3" s="16" t="s">
        <v>138</v>
      </c>
      <c r="AH3" s="16" t="s">
        <v>138</v>
      </c>
      <c r="AI3" s="16" t="s">
        <v>138</v>
      </c>
      <c r="AJ3" s="16" t="s">
        <v>138</v>
      </c>
      <c r="AK3" s="16" t="s">
        <v>138</v>
      </c>
      <c r="AL3" s="16" t="s">
        <v>138</v>
      </c>
      <c r="AM3" s="16" t="s">
        <v>138</v>
      </c>
      <c r="AN3" s="16" t="s">
        <v>138</v>
      </c>
      <c r="AO3" s="16" t="s">
        <v>138</v>
      </c>
      <c r="AP3" s="16" t="s">
        <v>138</v>
      </c>
      <c r="AQ3" s="16" t="s">
        <v>138</v>
      </c>
      <c r="AR3" s="16" t="s">
        <v>138</v>
      </c>
      <c r="AS3" s="16" t="s">
        <v>138</v>
      </c>
      <c r="AT3" s="16" t="s">
        <v>138</v>
      </c>
      <c r="AU3" s="16" t="s">
        <v>138</v>
      </c>
      <c r="AV3" s="16" t="s">
        <v>138</v>
      </c>
      <c r="AW3" s="16" t="s">
        <v>138</v>
      </c>
      <c r="AX3" s="16" t="s">
        <v>138</v>
      </c>
      <c r="AY3" s="16" t="s">
        <v>138</v>
      </c>
      <c r="AZ3" s="16" t="s">
        <v>138</v>
      </c>
      <c r="BA3" s="16" t="s">
        <v>138</v>
      </c>
      <c r="BB3" s="16" t="s">
        <v>138</v>
      </c>
      <c r="BC3" s="16" t="s">
        <v>138</v>
      </c>
      <c r="BD3" s="16" t="s">
        <v>138</v>
      </c>
      <c r="BE3" s="16" t="s">
        <v>138</v>
      </c>
      <c r="BF3" s="16" t="s">
        <v>138</v>
      </c>
      <c r="BG3" s="16" t="s">
        <v>138</v>
      </c>
      <c r="BH3" s="16" t="s">
        <v>138</v>
      </c>
      <c r="BI3" s="16" t="s">
        <v>138</v>
      </c>
      <c r="BJ3" s="16" t="s">
        <v>138</v>
      </c>
      <c r="BK3" s="16" t="s">
        <v>138</v>
      </c>
      <c r="BL3" s="16" t="s">
        <v>138</v>
      </c>
      <c r="BM3" s="16" t="s">
        <v>138</v>
      </c>
      <c r="BN3" s="16" t="s">
        <v>138</v>
      </c>
      <c r="BO3" s="16" t="s">
        <v>138</v>
      </c>
      <c r="BP3" s="16" t="s">
        <v>138</v>
      </c>
      <c r="BQ3" s="16" t="s">
        <v>138</v>
      </c>
      <c r="BR3" s="16" t="s">
        <v>138</v>
      </c>
      <c r="BS3" s="16" t="s">
        <v>138</v>
      </c>
      <c r="BT3" s="16" t="s">
        <v>138</v>
      </c>
      <c r="BU3" s="16" t="s">
        <v>138</v>
      </c>
      <c r="BV3" s="16" t="s">
        <v>138</v>
      </c>
      <c r="BW3" s="16" t="s">
        <v>138</v>
      </c>
      <c r="BX3" s="16" t="s">
        <v>138</v>
      </c>
      <c r="BY3" s="16" t="s">
        <v>138</v>
      </c>
      <c r="BZ3" s="16" t="s">
        <v>138</v>
      </c>
      <c r="CA3" s="16" t="s">
        <v>138</v>
      </c>
      <c r="CB3" s="16" t="s">
        <v>138</v>
      </c>
      <c r="CC3" s="16" t="s">
        <v>138</v>
      </c>
      <c r="CD3" s="16" t="s">
        <v>138</v>
      </c>
      <c r="CE3" s="16" t="s">
        <v>138</v>
      </c>
      <c r="CF3" s="16" t="s">
        <v>138</v>
      </c>
      <c r="CG3" s="16" t="s">
        <v>138</v>
      </c>
      <c r="CH3" s="16" t="s">
        <v>138</v>
      </c>
      <c r="CI3" s="16" t="s">
        <v>138</v>
      </c>
      <c r="CJ3" s="16" t="s">
        <v>138</v>
      </c>
      <c r="CK3" s="16" t="s">
        <v>138</v>
      </c>
      <c r="CL3" s="16" t="s">
        <v>138</v>
      </c>
      <c r="CM3" s="16" t="s">
        <v>138</v>
      </c>
      <c r="CN3" s="16" t="s">
        <v>138</v>
      </c>
      <c r="CO3" s="16" t="s">
        <v>138</v>
      </c>
      <c r="CP3" s="16" t="s">
        <v>138</v>
      </c>
      <c r="CQ3" s="16" t="s">
        <v>138</v>
      </c>
      <c r="CR3" s="16" t="s">
        <v>138</v>
      </c>
      <c r="CS3" s="16" t="s">
        <v>138</v>
      </c>
      <c r="CT3" s="16" t="s">
        <v>138</v>
      </c>
      <c r="CU3" s="16" t="s">
        <v>138</v>
      </c>
      <c r="CV3" s="16" t="s">
        <v>138</v>
      </c>
      <c r="CW3" s="16" t="s">
        <v>138</v>
      </c>
    </row>
    <row r="4" spans="1:101" s="24" customFormat="1" x14ac:dyDescent="0.25">
      <c r="A4" s="13">
        <v>41</v>
      </c>
      <c r="B4" s="16" t="s">
        <v>138</v>
      </c>
      <c r="C4" s="16" t="s">
        <v>138</v>
      </c>
      <c r="D4" s="16" t="s">
        <v>138</v>
      </c>
      <c r="E4" s="16" t="s">
        <v>138</v>
      </c>
      <c r="F4" s="16" t="s">
        <v>138</v>
      </c>
      <c r="G4" s="16" t="s">
        <v>138</v>
      </c>
      <c r="H4" s="16" t="s">
        <v>138</v>
      </c>
      <c r="I4" s="16" t="s">
        <v>138</v>
      </c>
      <c r="J4" s="16" t="s">
        <v>138</v>
      </c>
      <c r="K4" s="16" t="s">
        <v>138</v>
      </c>
      <c r="L4" s="16" t="s">
        <v>138</v>
      </c>
      <c r="M4" s="16" t="s">
        <v>138</v>
      </c>
      <c r="N4" s="16" t="s">
        <v>138</v>
      </c>
      <c r="O4" s="16" t="s">
        <v>138</v>
      </c>
      <c r="P4" s="16" t="s">
        <v>138</v>
      </c>
      <c r="Q4" s="16" t="s">
        <v>138</v>
      </c>
      <c r="R4" s="16" t="s">
        <v>138</v>
      </c>
      <c r="S4" s="16" t="s">
        <v>138</v>
      </c>
      <c r="T4" s="16" t="s">
        <v>138</v>
      </c>
      <c r="U4" s="16">
        <v>7200</v>
      </c>
      <c r="V4" s="16" t="s">
        <v>138</v>
      </c>
      <c r="W4" s="16" t="s">
        <v>138</v>
      </c>
      <c r="X4" s="16" t="s">
        <v>138</v>
      </c>
      <c r="Y4" s="16" t="s">
        <v>138</v>
      </c>
      <c r="Z4" s="16" t="s">
        <v>138</v>
      </c>
      <c r="AA4" s="16" t="s">
        <v>138</v>
      </c>
      <c r="AB4" s="16" t="s">
        <v>138</v>
      </c>
      <c r="AC4" s="16" t="s">
        <v>138</v>
      </c>
      <c r="AD4" s="16" t="s">
        <v>138</v>
      </c>
      <c r="AE4" s="16" t="s">
        <v>138</v>
      </c>
      <c r="AF4" s="16" t="s">
        <v>138</v>
      </c>
      <c r="AG4" s="16" t="s">
        <v>138</v>
      </c>
      <c r="AH4" s="16" t="s">
        <v>138</v>
      </c>
      <c r="AI4" s="16" t="s">
        <v>138</v>
      </c>
      <c r="AJ4" s="16" t="s">
        <v>138</v>
      </c>
      <c r="AK4" s="16" t="s">
        <v>138</v>
      </c>
      <c r="AL4" s="16" t="s">
        <v>138</v>
      </c>
      <c r="AM4" s="16" t="s">
        <v>138</v>
      </c>
      <c r="AN4" s="16" t="s">
        <v>138</v>
      </c>
      <c r="AO4" s="16" t="s">
        <v>138</v>
      </c>
      <c r="AP4" s="16" t="s">
        <v>138</v>
      </c>
      <c r="AQ4" s="16" t="s">
        <v>138</v>
      </c>
      <c r="AR4" s="16" t="s">
        <v>138</v>
      </c>
      <c r="AS4" s="16" t="s">
        <v>138</v>
      </c>
      <c r="AT4" s="16" t="s">
        <v>138</v>
      </c>
      <c r="AU4" s="16" t="s">
        <v>138</v>
      </c>
      <c r="AV4" s="16" t="s">
        <v>138</v>
      </c>
      <c r="AW4" s="16" t="s">
        <v>138</v>
      </c>
      <c r="AX4" s="16" t="s">
        <v>138</v>
      </c>
      <c r="AY4" s="16" t="s">
        <v>138</v>
      </c>
      <c r="AZ4" s="16" t="s">
        <v>138</v>
      </c>
      <c r="BA4" s="16" t="s">
        <v>138</v>
      </c>
      <c r="BB4" s="16" t="s">
        <v>138</v>
      </c>
      <c r="BC4" s="16" t="s">
        <v>138</v>
      </c>
      <c r="BD4" s="16" t="s">
        <v>138</v>
      </c>
      <c r="BE4" s="16" t="s">
        <v>138</v>
      </c>
      <c r="BF4" s="16" t="s">
        <v>138</v>
      </c>
      <c r="BG4" s="16" t="s">
        <v>138</v>
      </c>
      <c r="BH4" s="16" t="s">
        <v>138</v>
      </c>
      <c r="BI4" s="16" t="s">
        <v>138</v>
      </c>
      <c r="BJ4" s="16" t="s">
        <v>138</v>
      </c>
      <c r="BK4" s="16" t="s">
        <v>138</v>
      </c>
      <c r="BL4" s="16" t="s">
        <v>138</v>
      </c>
      <c r="BM4" s="16" t="s">
        <v>138</v>
      </c>
      <c r="BN4" s="16" t="s">
        <v>138</v>
      </c>
      <c r="BO4" s="16" t="s">
        <v>138</v>
      </c>
      <c r="BP4" s="16" t="s">
        <v>138</v>
      </c>
      <c r="BQ4" s="16" t="s">
        <v>138</v>
      </c>
      <c r="BR4" s="16" t="s">
        <v>138</v>
      </c>
      <c r="BS4" s="16" t="s">
        <v>138</v>
      </c>
      <c r="BT4" s="16" t="s">
        <v>138</v>
      </c>
      <c r="BU4" s="16" t="s">
        <v>138</v>
      </c>
      <c r="BV4" s="16" t="s">
        <v>138</v>
      </c>
      <c r="BW4" s="16" t="s">
        <v>138</v>
      </c>
      <c r="BX4" s="16" t="s">
        <v>138</v>
      </c>
      <c r="BY4" s="16" t="s">
        <v>138</v>
      </c>
      <c r="BZ4" s="16" t="s">
        <v>138</v>
      </c>
      <c r="CA4" s="16" t="s">
        <v>138</v>
      </c>
      <c r="CB4" s="16" t="s">
        <v>138</v>
      </c>
      <c r="CC4" s="16" t="s">
        <v>138</v>
      </c>
      <c r="CD4" s="16" t="s">
        <v>138</v>
      </c>
      <c r="CE4" s="16" t="s">
        <v>138</v>
      </c>
      <c r="CF4" s="16" t="s">
        <v>138</v>
      </c>
      <c r="CG4" s="16" t="s">
        <v>138</v>
      </c>
      <c r="CH4" s="16" t="s">
        <v>138</v>
      </c>
      <c r="CI4" s="16" t="s">
        <v>138</v>
      </c>
      <c r="CJ4" s="16" t="s">
        <v>138</v>
      </c>
      <c r="CK4" s="16" t="s">
        <v>138</v>
      </c>
      <c r="CL4" s="16" t="s">
        <v>138</v>
      </c>
      <c r="CM4" s="16" t="s">
        <v>138</v>
      </c>
      <c r="CN4" s="16" t="s">
        <v>138</v>
      </c>
      <c r="CO4" s="16" t="s">
        <v>138</v>
      </c>
      <c r="CP4" s="16" t="s">
        <v>138</v>
      </c>
      <c r="CQ4" s="16" t="s">
        <v>138</v>
      </c>
      <c r="CR4" s="16" t="s">
        <v>138</v>
      </c>
      <c r="CS4" s="16" t="s">
        <v>138</v>
      </c>
      <c r="CT4" s="16" t="s">
        <v>138</v>
      </c>
      <c r="CU4" s="16" t="s">
        <v>138</v>
      </c>
      <c r="CV4" s="16" t="s">
        <v>138</v>
      </c>
      <c r="CW4" s="16" t="s">
        <v>138</v>
      </c>
    </row>
    <row r="5" spans="1:101" s="24" customFormat="1" x14ac:dyDescent="0.25">
      <c r="A5" s="13">
        <v>42</v>
      </c>
      <c r="B5" s="16" t="s">
        <v>138</v>
      </c>
      <c r="C5" s="16" t="s">
        <v>138</v>
      </c>
      <c r="D5" s="16" t="s">
        <v>138</v>
      </c>
      <c r="E5" s="16" t="s">
        <v>138</v>
      </c>
      <c r="F5" s="16" t="s">
        <v>138</v>
      </c>
      <c r="G5" s="16" t="s">
        <v>138</v>
      </c>
      <c r="H5" s="16" t="s">
        <v>138</v>
      </c>
      <c r="I5" s="16" t="s">
        <v>138</v>
      </c>
      <c r="J5" s="16" t="s">
        <v>138</v>
      </c>
      <c r="K5" s="16" t="s">
        <v>138</v>
      </c>
      <c r="L5" s="16" t="s">
        <v>138</v>
      </c>
      <c r="M5" s="16" t="s">
        <v>138</v>
      </c>
      <c r="N5" s="16" t="s">
        <v>138</v>
      </c>
      <c r="O5" s="16" t="s">
        <v>138</v>
      </c>
      <c r="P5" s="16" t="s">
        <v>138</v>
      </c>
      <c r="Q5" s="16" t="s">
        <v>138</v>
      </c>
      <c r="R5" s="16" t="s">
        <v>138</v>
      </c>
      <c r="S5" s="16" t="s">
        <v>138</v>
      </c>
      <c r="T5" s="16" t="s">
        <v>138</v>
      </c>
      <c r="U5" s="16">
        <v>7200</v>
      </c>
      <c r="V5" s="16" t="s">
        <v>138</v>
      </c>
      <c r="W5" s="16" t="s">
        <v>138</v>
      </c>
      <c r="X5" s="16" t="s">
        <v>138</v>
      </c>
      <c r="Y5" s="16" t="s">
        <v>138</v>
      </c>
      <c r="Z5" s="16" t="s">
        <v>138</v>
      </c>
      <c r="AA5" s="16" t="s">
        <v>138</v>
      </c>
      <c r="AB5" s="16" t="s">
        <v>138</v>
      </c>
      <c r="AC5" s="16" t="s">
        <v>138</v>
      </c>
      <c r="AD5" s="16" t="s">
        <v>138</v>
      </c>
      <c r="AE5" s="16" t="s">
        <v>138</v>
      </c>
      <c r="AF5" s="16" t="s">
        <v>138</v>
      </c>
      <c r="AG5" s="16" t="s">
        <v>138</v>
      </c>
      <c r="AH5" s="16" t="s">
        <v>138</v>
      </c>
      <c r="AI5" s="16" t="s">
        <v>138</v>
      </c>
      <c r="AJ5" s="16" t="s">
        <v>138</v>
      </c>
      <c r="AK5" s="16" t="s">
        <v>138</v>
      </c>
      <c r="AL5" s="16" t="s">
        <v>138</v>
      </c>
      <c r="AM5" s="16" t="s">
        <v>138</v>
      </c>
      <c r="AN5" s="16" t="s">
        <v>138</v>
      </c>
      <c r="AO5" s="16" t="s">
        <v>138</v>
      </c>
      <c r="AP5" s="16" t="s">
        <v>138</v>
      </c>
      <c r="AQ5" s="16" t="s">
        <v>138</v>
      </c>
      <c r="AR5" s="16" t="s">
        <v>138</v>
      </c>
      <c r="AS5" s="16" t="s">
        <v>138</v>
      </c>
      <c r="AT5" s="16" t="s">
        <v>138</v>
      </c>
      <c r="AU5" s="16" t="s">
        <v>138</v>
      </c>
      <c r="AV5" s="16" t="s">
        <v>138</v>
      </c>
      <c r="AW5" s="16" t="s">
        <v>138</v>
      </c>
      <c r="AX5" s="16" t="s">
        <v>138</v>
      </c>
      <c r="AY5" s="16" t="s">
        <v>138</v>
      </c>
      <c r="AZ5" s="16" t="s">
        <v>138</v>
      </c>
      <c r="BA5" s="16" t="s">
        <v>138</v>
      </c>
      <c r="BB5" s="16" t="s">
        <v>138</v>
      </c>
      <c r="BC5" s="16" t="s">
        <v>138</v>
      </c>
      <c r="BD5" s="16" t="s">
        <v>138</v>
      </c>
      <c r="BE5" s="16" t="s">
        <v>138</v>
      </c>
      <c r="BF5" s="16" t="s">
        <v>138</v>
      </c>
      <c r="BG5" s="16" t="s">
        <v>138</v>
      </c>
      <c r="BH5" s="16" t="s">
        <v>138</v>
      </c>
      <c r="BI5" s="16" t="s">
        <v>138</v>
      </c>
      <c r="BJ5" s="16" t="s">
        <v>138</v>
      </c>
      <c r="BK5" s="16" t="s">
        <v>138</v>
      </c>
      <c r="BL5" s="16" t="s">
        <v>138</v>
      </c>
      <c r="BM5" s="16" t="s">
        <v>138</v>
      </c>
      <c r="BN5" s="16" t="s">
        <v>138</v>
      </c>
      <c r="BO5" s="16" t="s">
        <v>138</v>
      </c>
      <c r="BP5" s="16" t="s">
        <v>138</v>
      </c>
      <c r="BQ5" s="16" t="s">
        <v>138</v>
      </c>
      <c r="BR5" s="16" t="s">
        <v>138</v>
      </c>
      <c r="BS5" s="16" t="s">
        <v>138</v>
      </c>
      <c r="BT5" s="16" t="s">
        <v>138</v>
      </c>
      <c r="BU5" s="16" t="s">
        <v>138</v>
      </c>
      <c r="BV5" s="16" t="s">
        <v>138</v>
      </c>
      <c r="BW5" s="16" t="s">
        <v>138</v>
      </c>
      <c r="BX5" s="16" t="s">
        <v>138</v>
      </c>
      <c r="BY5" s="16" t="s">
        <v>138</v>
      </c>
      <c r="BZ5" s="16" t="s">
        <v>138</v>
      </c>
      <c r="CA5" s="16" t="s">
        <v>138</v>
      </c>
      <c r="CB5" s="16" t="s">
        <v>138</v>
      </c>
      <c r="CC5" s="16" t="s">
        <v>138</v>
      </c>
      <c r="CD5" s="16" t="s">
        <v>138</v>
      </c>
      <c r="CE5" s="16" t="s">
        <v>138</v>
      </c>
      <c r="CF5" s="16" t="s">
        <v>138</v>
      </c>
      <c r="CG5" s="16" t="s">
        <v>138</v>
      </c>
      <c r="CH5" s="16" t="s">
        <v>138</v>
      </c>
      <c r="CI5" s="16" t="s">
        <v>138</v>
      </c>
      <c r="CJ5" s="16" t="s">
        <v>138</v>
      </c>
      <c r="CK5" s="16" t="s">
        <v>138</v>
      </c>
      <c r="CL5" s="16" t="s">
        <v>138</v>
      </c>
      <c r="CM5" s="16" t="s">
        <v>138</v>
      </c>
      <c r="CN5" s="16" t="s">
        <v>138</v>
      </c>
      <c r="CO5" s="16" t="s">
        <v>138</v>
      </c>
      <c r="CP5" s="16" t="s">
        <v>138</v>
      </c>
      <c r="CQ5" s="16" t="s">
        <v>138</v>
      </c>
      <c r="CR5" s="16" t="s">
        <v>138</v>
      </c>
      <c r="CS5" s="16" t="s">
        <v>138</v>
      </c>
      <c r="CT5" s="16" t="s">
        <v>138</v>
      </c>
      <c r="CU5" s="16" t="s">
        <v>138</v>
      </c>
      <c r="CV5" s="16" t="s">
        <v>138</v>
      </c>
      <c r="CW5" s="16" t="s">
        <v>138</v>
      </c>
    </row>
    <row r="6" spans="1:101" s="24" customFormat="1" x14ac:dyDescent="0.25">
      <c r="A6" s="13">
        <v>43</v>
      </c>
      <c r="B6" s="16" t="s">
        <v>138</v>
      </c>
      <c r="C6" s="16" t="s">
        <v>138</v>
      </c>
      <c r="D6" s="16" t="s">
        <v>138</v>
      </c>
      <c r="E6" s="16" t="s">
        <v>138</v>
      </c>
      <c r="F6" s="16" t="s">
        <v>138</v>
      </c>
      <c r="G6" s="16" t="s">
        <v>138</v>
      </c>
      <c r="H6" s="16" t="s">
        <v>138</v>
      </c>
      <c r="I6" s="16" t="s">
        <v>138</v>
      </c>
      <c r="J6" s="16" t="s">
        <v>138</v>
      </c>
      <c r="K6" s="16" t="s">
        <v>138</v>
      </c>
      <c r="L6" s="16" t="s">
        <v>138</v>
      </c>
      <c r="M6" s="16" t="s">
        <v>138</v>
      </c>
      <c r="N6" s="16" t="s">
        <v>138</v>
      </c>
      <c r="O6" s="16" t="s">
        <v>138</v>
      </c>
      <c r="P6" s="16" t="s">
        <v>138</v>
      </c>
      <c r="Q6" s="16" t="s">
        <v>138</v>
      </c>
      <c r="R6" s="16" t="s">
        <v>138</v>
      </c>
      <c r="S6" s="16" t="s">
        <v>138</v>
      </c>
      <c r="T6" s="16" t="s">
        <v>138</v>
      </c>
      <c r="U6" s="16">
        <v>7200</v>
      </c>
      <c r="V6" s="16" t="s">
        <v>138</v>
      </c>
      <c r="W6" s="16" t="s">
        <v>138</v>
      </c>
      <c r="X6" s="16" t="s">
        <v>138</v>
      </c>
      <c r="Y6" s="16">
        <v>19000</v>
      </c>
      <c r="Z6" s="16" t="s">
        <v>138</v>
      </c>
      <c r="AA6" s="16" t="s">
        <v>138</v>
      </c>
      <c r="AB6" s="16" t="s">
        <v>138</v>
      </c>
      <c r="AC6" s="16" t="s">
        <v>138</v>
      </c>
      <c r="AD6" s="16" t="s">
        <v>138</v>
      </c>
      <c r="AE6" s="16" t="s">
        <v>138</v>
      </c>
      <c r="AF6" s="16" t="s">
        <v>138</v>
      </c>
      <c r="AG6" s="16" t="s">
        <v>138</v>
      </c>
      <c r="AH6" s="16">
        <v>15000</v>
      </c>
      <c r="AI6" s="16" t="s">
        <v>138</v>
      </c>
      <c r="AJ6" s="16" t="s">
        <v>138</v>
      </c>
      <c r="AK6" s="16" t="s">
        <v>138</v>
      </c>
      <c r="AL6" s="16" t="s">
        <v>138</v>
      </c>
      <c r="AM6" s="16" t="s">
        <v>138</v>
      </c>
      <c r="AN6" s="16" t="s">
        <v>138</v>
      </c>
      <c r="AO6" s="16" t="s">
        <v>138</v>
      </c>
      <c r="AP6" s="16" t="s">
        <v>138</v>
      </c>
      <c r="AQ6" s="16" t="s">
        <v>138</v>
      </c>
      <c r="AR6" s="16" t="s">
        <v>138</v>
      </c>
      <c r="AS6" s="16" t="s">
        <v>138</v>
      </c>
      <c r="AT6" s="16" t="s">
        <v>138</v>
      </c>
      <c r="AU6" s="16" t="s">
        <v>138</v>
      </c>
      <c r="AV6" s="16" t="s">
        <v>138</v>
      </c>
      <c r="AW6" s="16" t="s">
        <v>138</v>
      </c>
      <c r="AX6" s="16" t="s">
        <v>138</v>
      </c>
      <c r="AY6" s="16" t="s">
        <v>138</v>
      </c>
      <c r="AZ6" s="16" t="s">
        <v>138</v>
      </c>
      <c r="BA6" s="16" t="s">
        <v>138</v>
      </c>
      <c r="BB6" s="16" t="s">
        <v>138</v>
      </c>
      <c r="BC6" s="16" t="s">
        <v>138</v>
      </c>
      <c r="BD6" s="16" t="s">
        <v>138</v>
      </c>
      <c r="BE6" s="16" t="s">
        <v>138</v>
      </c>
      <c r="BF6" s="16" t="s">
        <v>138</v>
      </c>
      <c r="BG6" s="16" t="s">
        <v>138</v>
      </c>
      <c r="BH6" s="16" t="s">
        <v>138</v>
      </c>
      <c r="BI6" s="16" t="s">
        <v>138</v>
      </c>
      <c r="BJ6" s="16" t="s">
        <v>138</v>
      </c>
      <c r="BK6" s="16" t="s">
        <v>138</v>
      </c>
      <c r="BL6" s="16" t="s">
        <v>138</v>
      </c>
      <c r="BM6" s="16" t="s">
        <v>138</v>
      </c>
      <c r="BN6" s="16" t="s">
        <v>138</v>
      </c>
      <c r="BO6" s="16" t="s">
        <v>138</v>
      </c>
      <c r="BP6" s="16" t="s">
        <v>138</v>
      </c>
      <c r="BQ6" s="16" t="s">
        <v>138</v>
      </c>
      <c r="BR6" s="16" t="s">
        <v>138</v>
      </c>
      <c r="BS6" s="16" t="s">
        <v>138</v>
      </c>
      <c r="BT6" s="16" t="s">
        <v>138</v>
      </c>
      <c r="BU6" s="16" t="s">
        <v>138</v>
      </c>
      <c r="BV6" s="16" t="s">
        <v>138</v>
      </c>
      <c r="BW6" s="16" t="s">
        <v>138</v>
      </c>
      <c r="BX6" s="16" t="s">
        <v>138</v>
      </c>
      <c r="BY6" s="16" t="s">
        <v>138</v>
      </c>
      <c r="BZ6" s="16" t="s">
        <v>138</v>
      </c>
      <c r="CA6" s="16" t="s">
        <v>138</v>
      </c>
      <c r="CB6" s="16" t="s">
        <v>138</v>
      </c>
      <c r="CC6" s="16" t="s">
        <v>138</v>
      </c>
      <c r="CD6" s="16" t="s">
        <v>138</v>
      </c>
      <c r="CE6" s="16" t="s">
        <v>138</v>
      </c>
      <c r="CF6" s="16" t="s">
        <v>138</v>
      </c>
      <c r="CG6" s="16" t="s">
        <v>138</v>
      </c>
      <c r="CH6" s="16" t="s">
        <v>138</v>
      </c>
      <c r="CI6" s="16" t="s">
        <v>138</v>
      </c>
      <c r="CJ6" s="16" t="s">
        <v>138</v>
      </c>
      <c r="CK6" s="16" t="s">
        <v>138</v>
      </c>
      <c r="CL6" s="16" t="s">
        <v>138</v>
      </c>
      <c r="CM6" s="16" t="s">
        <v>138</v>
      </c>
      <c r="CN6" s="16" t="s">
        <v>138</v>
      </c>
      <c r="CO6" s="16" t="s">
        <v>138</v>
      </c>
      <c r="CP6" s="16" t="s">
        <v>138</v>
      </c>
      <c r="CQ6" s="16" t="s">
        <v>138</v>
      </c>
      <c r="CR6" s="16" t="s">
        <v>138</v>
      </c>
      <c r="CS6" s="16" t="s">
        <v>138</v>
      </c>
      <c r="CT6" s="16" t="s">
        <v>138</v>
      </c>
      <c r="CU6" s="16" t="s">
        <v>138</v>
      </c>
      <c r="CV6" s="16" t="s">
        <v>138</v>
      </c>
      <c r="CW6" s="16" t="s">
        <v>138</v>
      </c>
    </row>
    <row r="7" spans="1:101" s="24" customFormat="1" x14ac:dyDescent="0.25">
      <c r="A7" s="13">
        <v>44</v>
      </c>
      <c r="B7" s="16" t="s">
        <v>138</v>
      </c>
      <c r="C7" s="16" t="s">
        <v>138</v>
      </c>
      <c r="D7" s="16" t="s">
        <v>138</v>
      </c>
      <c r="E7" s="16" t="s">
        <v>138</v>
      </c>
      <c r="F7" s="16" t="s">
        <v>138</v>
      </c>
      <c r="G7" s="16" t="s">
        <v>138</v>
      </c>
      <c r="H7" s="16" t="s">
        <v>138</v>
      </c>
      <c r="I7" s="16" t="s">
        <v>138</v>
      </c>
      <c r="J7" s="16" t="s">
        <v>138</v>
      </c>
      <c r="K7" s="16" t="s">
        <v>138</v>
      </c>
      <c r="L7" s="16" t="s">
        <v>138</v>
      </c>
      <c r="M7" s="16" t="s">
        <v>138</v>
      </c>
      <c r="N7" s="16" t="s">
        <v>138</v>
      </c>
      <c r="O7" s="16" t="s">
        <v>138</v>
      </c>
      <c r="P7" s="16" t="s">
        <v>138</v>
      </c>
      <c r="Q7" s="16" t="s">
        <v>138</v>
      </c>
      <c r="R7" s="16" t="s">
        <v>138</v>
      </c>
      <c r="S7" s="16" t="s">
        <v>138</v>
      </c>
      <c r="T7" s="16" t="s">
        <v>138</v>
      </c>
      <c r="U7" s="16">
        <v>7200</v>
      </c>
      <c r="V7" s="16" t="s">
        <v>138</v>
      </c>
      <c r="W7" s="16" t="s">
        <v>138</v>
      </c>
      <c r="X7" s="16" t="s">
        <v>138</v>
      </c>
      <c r="Y7" s="16">
        <v>19000</v>
      </c>
      <c r="Z7" s="16" t="s">
        <v>138</v>
      </c>
      <c r="AA7" s="16" t="s">
        <v>138</v>
      </c>
      <c r="AB7" s="16" t="s">
        <v>138</v>
      </c>
      <c r="AC7" s="16" t="s">
        <v>138</v>
      </c>
      <c r="AD7" s="16" t="s">
        <v>138</v>
      </c>
      <c r="AE7" s="16" t="s">
        <v>138</v>
      </c>
      <c r="AF7" s="16" t="s">
        <v>138</v>
      </c>
      <c r="AG7" s="16" t="s">
        <v>138</v>
      </c>
      <c r="AH7" s="16">
        <v>15000</v>
      </c>
      <c r="AI7" s="16" t="s">
        <v>138</v>
      </c>
      <c r="AJ7" s="16" t="s">
        <v>138</v>
      </c>
      <c r="AK7" s="16" t="s">
        <v>138</v>
      </c>
      <c r="AL7" s="16" t="s">
        <v>138</v>
      </c>
      <c r="AM7" s="16" t="s">
        <v>138</v>
      </c>
      <c r="AN7" s="16" t="s">
        <v>138</v>
      </c>
      <c r="AO7" s="16" t="s">
        <v>138</v>
      </c>
      <c r="AP7" s="16" t="s">
        <v>138</v>
      </c>
      <c r="AQ7" s="16" t="s">
        <v>138</v>
      </c>
      <c r="AR7" s="16" t="s">
        <v>138</v>
      </c>
      <c r="AS7" s="16" t="s">
        <v>138</v>
      </c>
      <c r="AT7" s="16" t="s">
        <v>138</v>
      </c>
      <c r="AU7" s="16" t="s">
        <v>138</v>
      </c>
      <c r="AV7" s="16" t="s">
        <v>138</v>
      </c>
      <c r="AW7" s="16" t="s">
        <v>138</v>
      </c>
      <c r="AX7" s="16" t="s">
        <v>138</v>
      </c>
      <c r="AY7" s="16" t="s">
        <v>138</v>
      </c>
      <c r="AZ7" s="16" t="s">
        <v>138</v>
      </c>
      <c r="BA7" s="16" t="s">
        <v>138</v>
      </c>
      <c r="BB7" s="16" t="s">
        <v>138</v>
      </c>
      <c r="BC7" s="16" t="s">
        <v>138</v>
      </c>
      <c r="BD7" s="16" t="s">
        <v>138</v>
      </c>
      <c r="BE7" s="16" t="s">
        <v>138</v>
      </c>
      <c r="BF7" s="16" t="s">
        <v>138</v>
      </c>
      <c r="BG7" s="16" t="s">
        <v>138</v>
      </c>
      <c r="BH7" s="16" t="s">
        <v>138</v>
      </c>
      <c r="BI7" s="16" t="s">
        <v>138</v>
      </c>
      <c r="BJ7" s="16" t="s">
        <v>138</v>
      </c>
      <c r="BK7" s="16" t="s">
        <v>138</v>
      </c>
      <c r="BL7" s="16" t="s">
        <v>138</v>
      </c>
      <c r="BM7" s="16" t="s">
        <v>138</v>
      </c>
      <c r="BN7" s="16" t="s">
        <v>138</v>
      </c>
      <c r="BO7" s="16" t="s">
        <v>138</v>
      </c>
      <c r="BP7" s="16" t="s">
        <v>138</v>
      </c>
      <c r="BQ7" s="16" t="s">
        <v>138</v>
      </c>
      <c r="BR7" s="16" t="s">
        <v>138</v>
      </c>
      <c r="BS7" s="16" t="s">
        <v>138</v>
      </c>
      <c r="BT7" s="16" t="s">
        <v>138</v>
      </c>
      <c r="BU7" s="16" t="s">
        <v>138</v>
      </c>
      <c r="BV7" s="16" t="s">
        <v>138</v>
      </c>
      <c r="BW7" s="16" t="s">
        <v>138</v>
      </c>
      <c r="BX7" s="16" t="s">
        <v>138</v>
      </c>
      <c r="BY7" s="16" t="s">
        <v>138</v>
      </c>
      <c r="BZ7" s="16" t="s">
        <v>138</v>
      </c>
      <c r="CA7" s="16" t="s">
        <v>138</v>
      </c>
      <c r="CB7" s="16" t="s">
        <v>138</v>
      </c>
      <c r="CC7" s="16" t="s">
        <v>138</v>
      </c>
      <c r="CD7" s="16" t="s">
        <v>138</v>
      </c>
      <c r="CE7" s="16" t="s">
        <v>138</v>
      </c>
      <c r="CF7" s="16" t="s">
        <v>138</v>
      </c>
      <c r="CG7" s="16" t="s">
        <v>138</v>
      </c>
      <c r="CH7" s="16" t="s">
        <v>138</v>
      </c>
      <c r="CI7" s="16" t="s">
        <v>138</v>
      </c>
      <c r="CJ7" s="16" t="s">
        <v>138</v>
      </c>
      <c r="CK7" s="16" t="s">
        <v>138</v>
      </c>
      <c r="CL7" s="16" t="s">
        <v>138</v>
      </c>
      <c r="CM7" s="16" t="s">
        <v>138</v>
      </c>
      <c r="CN7" s="16" t="s">
        <v>138</v>
      </c>
      <c r="CO7" s="16" t="s">
        <v>138</v>
      </c>
      <c r="CP7" s="16" t="s">
        <v>138</v>
      </c>
      <c r="CQ7" s="16" t="s">
        <v>138</v>
      </c>
      <c r="CR7" s="16" t="s">
        <v>138</v>
      </c>
      <c r="CS7" s="16" t="s">
        <v>138</v>
      </c>
      <c r="CT7" s="16" t="s">
        <v>138</v>
      </c>
      <c r="CU7" s="16" t="s">
        <v>138</v>
      </c>
      <c r="CV7" s="16" t="s">
        <v>138</v>
      </c>
      <c r="CW7" s="16" t="s">
        <v>138</v>
      </c>
    </row>
    <row r="8" spans="1:101" s="24" customFormat="1" x14ac:dyDescent="0.25">
      <c r="A8" s="13">
        <v>45</v>
      </c>
      <c r="B8" s="16" t="s">
        <v>138</v>
      </c>
      <c r="C8" s="16" t="s">
        <v>138</v>
      </c>
      <c r="D8" s="16" t="s">
        <v>138</v>
      </c>
      <c r="E8" s="16" t="s">
        <v>138</v>
      </c>
      <c r="F8" s="16" t="s">
        <v>138</v>
      </c>
      <c r="G8" s="16" t="s">
        <v>138</v>
      </c>
      <c r="H8" s="16" t="s">
        <v>138</v>
      </c>
      <c r="I8" s="16" t="s">
        <v>138</v>
      </c>
      <c r="J8" s="16" t="s">
        <v>138</v>
      </c>
      <c r="K8" s="16" t="s">
        <v>138</v>
      </c>
      <c r="L8" s="16" t="s">
        <v>138</v>
      </c>
      <c r="M8" s="16" t="s">
        <v>138</v>
      </c>
      <c r="N8" s="16" t="s">
        <v>138</v>
      </c>
      <c r="O8" s="16" t="s">
        <v>138</v>
      </c>
      <c r="P8" s="16" t="s">
        <v>138</v>
      </c>
      <c r="Q8" s="16" t="s">
        <v>138</v>
      </c>
      <c r="R8" s="16" t="s">
        <v>138</v>
      </c>
      <c r="S8" s="16" t="s">
        <v>138</v>
      </c>
      <c r="T8" s="16" t="s">
        <v>138</v>
      </c>
      <c r="U8" s="16">
        <v>7200</v>
      </c>
      <c r="V8" s="16" t="s">
        <v>138</v>
      </c>
      <c r="W8" s="16" t="s">
        <v>138</v>
      </c>
      <c r="X8" s="16" t="s">
        <v>138</v>
      </c>
      <c r="Y8" s="16">
        <v>19000</v>
      </c>
      <c r="Z8" s="16" t="s">
        <v>138</v>
      </c>
      <c r="AA8" s="16" t="s">
        <v>138</v>
      </c>
      <c r="AB8" s="16" t="s">
        <v>138</v>
      </c>
      <c r="AC8" s="16" t="s">
        <v>138</v>
      </c>
      <c r="AD8" s="16" t="s">
        <v>138</v>
      </c>
      <c r="AE8" s="16" t="s">
        <v>138</v>
      </c>
      <c r="AF8" s="16">
        <v>15000</v>
      </c>
      <c r="AG8" s="16" t="s">
        <v>138</v>
      </c>
      <c r="AH8" s="16">
        <v>15000</v>
      </c>
      <c r="AI8" s="16" t="s">
        <v>138</v>
      </c>
      <c r="AJ8" s="16" t="s">
        <v>138</v>
      </c>
      <c r="AK8" s="16" t="s">
        <v>138</v>
      </c>
      <c r="AL8" s="16" t="s">
        <v>138</v>
      </c>
      <c r="AM8" s="16" t="s">
        <v>138</v>
      </c>
      <c r="AN8" s="16" t="s">
        <v>138</v>
      </c>
      <c r="AO8" s="16" t="s">
        <v>138</v>
      </c>
      <c r="AP8" s="16" t="s">
        <v>138</v>
      </c>
      <c r="AQ8" s="16" t="s">
        <v>138</v>
      </c>
      <c r="AR8" s="16" t="s">
        <v>138</v>
      </c>
      <c r="AS8" s="16" t="s">
        <v>138</v>
      </c>
      <c r="AT8" s="16" t="s">
        <v>138</v>
      </c>
      <c r="AU8" s="16" t="s">
        <v>138</v>
      </c>
      <c r="AV8" s="16" t="s">
        <v>138</v>
      </c>
      <c r="AW8" s="16" t="s">
        <v>138</v>
      </c>
      <c r="AX8" s="16" t="s">
        <v>138</v>
      </c>
      <c r="AY8" s="16" t="s">
        <v>138</v>
      </c>
      <c r="AZ8" s="16" t="s">
        <v>138</v>
      </c>
      <c r="BA8" s="16" t="s">
        <v>138</v>
      </c>
      <c r="BB8" s="16" t="s">
        <v>138</v>
      </c>
      <c r="BC8" s="16" t="s">
        <v>138</v>
      </c>
      <c r="BD8" s="16" t="s">
        <v>138</v>
      </c>
      <c r="BE8" s="16" t="s">
        <v>138</v>
      </c>
      <c r="BF8" s="16" t="s">
        <v>138</v>
      </c>
      <c r="BG8" s="16" t="s">
        <v>138</v>
      </c>
      <c r="BH8" s="16" t="s">
        <v>138</v>
      </c>
      <c r="BI8" s="16" t="s">
        <v>138</v>
      </c>
      <c r="BJ8" s="16" t="s">
        <v>138</v>
      </c>
      <c r="BK8" s="16" t="s">
        <v>138</v>
      </c>
      <c r="BL8" s="16" t="s">
        <v>138</v>
      </c>
      <c r="BM8" s="16" t="s">
        <v>138</v>
      </c>
      <c r="BN8" s="16" t="s">
        <v>138</v>
      </c>
      <c r="BO8" s="16" t="s">
        <v>138</v>
      </c>
      <c r="BP8" s="16" t="s">
        <v>138</v>
      </c>
      <c r="BQ8" s="16" t="s">
        <v>138</v>
      </c>
      <c r="BR8" s="16" t="s">
        <v>138</v>
      </c>
      <c r="BS8" s="16" t="s">
        <v>138</v>
      </c>
      <c r="BT8" s="16" t="s">
        <v>138</v>
      </c>
      <c r="BU8" s="16" t="s">
        <v>138</v>
      </c>
      <c r="BV8" s="16" t="s">
        <v>138</v>
      </c>
      <c r="BW8" s="16" t="s">
        <v>138</v>
      </c>
      <c r="BX8" s="16" t="s">
        <v>138</v>
      </c>
      <c r="BY8" s="16" t="s">
        <v>138</v>
      </c>
      <c r="BZ8" s="16" t="s">
        <v>138</v>
      </c>
      <c r="CA8" s="16" t="s">
        <v>138</v>
      </c>
      <c r="CB8" s="16" t="s">
        <v>138</v>
      </c>
      <c r="CC8" s="16" t="s">
        <v>138</v>
      </c>
      <c r="CD8" s="16" t="s">
        <v>138</v>
      </c>
      <c r="CE8" s="16" t="s">
        <v>138</v>
      </c>
      <c r="CF8" s="16" t="s">
        <v>138</v>
      </c>
      <c r="CG8" s="16" t="s">
        <v>138</v>
      </c>
      <c r="CH8" s="16" t="s">
        <v>138</v>
      </c>
      <c r="CI8" s="16" t="s">
        <v>138</v>
      </c>
      <c r="CJ8" s="16" t="s">
        <v>138</v>
      </c>
      <c r="CK8" s="16" t="s">
        <v>138</v>
      </c>
      <c r="CL8" s="16" t="s">
        <v>138</v>
      </c>
      <c r="CM8" s="16" t="s">
        <v>138</v>
      </c>
      <c r="CN8" s="16" t="s">
        <v>138</v>
      </c>
      <c r="CO8" s="16" t="s">
        <v>138</v>
      </c>
      <c r="CP8" s="16" t="s">
        <v>138</v>
      </c>
      <c r="CQ8" s="16" t="s">
        <v>138</v>
      </c>
      <c r="CR8" s="16" t="s">
        <v>138</v>
      </c>
      <c r="CS8" s="16" t="s">
        <v>138</v>
      </c>
      <c r="CT8" s="16" t="s">
        <v>138</v>
      </c>
      <c r="CU8" s="16" t="s">
        <v>138</v>
      </c>
      <c r="CV8" s="16" t="s">
        <v>138</v>
      </c>
      <c r="CW8" s="16" t="s">
        <v>138</v>
      </c>
    </row>
    <row r="9" spans="1:101" s="24" customFormat="1" x14ac:dyDescent="0.25">
      <c r="A9" s="13">
        <v>46</v>
      </c>
      <c r="B9" s="16" t="s">
        <v>138</v>
      </c>
      <c r="C9" s="16" t="s">
        <v>138</v>
      </c>
      <c r="D9" s="16" t="s">
        <v>138</v>
      </c>
      <c r="E9" s="16" t="s">
        <v>138</v>
      </c>
      <c r="F9" s="16" t="s">
        <v>138</v>
      </c>
      <c r="G9" s="16" t="s">
        <v>138</v>
      </c>
      <c r="H9" s="16" t="s">
        <v>138</v>
      </c>
      <c r="I9" s="16" t="s">
        <v>138</v>
      </c>
      <c r="J9" s="16" t="s">
        <v>138</v>
      </c>
      <c r="K9" s="16" t="s">
        <v>138</v>
      </c>
      <c r="L9" s="16" t="s">
        <v>138</v>
      </c>
      <c r="M9" s="16" t="s">
        <v>138</v>
      </c>
      <c r="N9" s="16" t="s">
        <v>138</v>
      </c>
      <c r="O9" s="16" t="s">
        <v>138</v>
      </c>
      <c r="P9" s="16" t="s">
        <v>138</v>
      </c>
      <c r="Q9" s="16" t="s">
        <v>138</v>
      </c>
      <c r="R9" s="16" t="s">
        <v>138</v>
      </c>
      <c r="S9" s="16" t="s">
        <v>138</v>
      </c>
      <c r="T9" s="16" t="s">
        <v>138</v>
      </c>
      <c r="U9" s="16">
        <v>7200</v>
      </c>
      <c r="V9" s="16" t="s">
        <v>138</v>
      </c>
      <c r="W9" s="16" t="s">
        <v>138</v>
      </c>
      <c r="X9" s="16" t="s">
        <v>138</v>
      </c>
      <c r="Y9" s="16">
        <v>19000</v>
      </c>
      <c r="Z9" s="16" t="s">
        <v>138</v>
      </c>
      <c r="AA9" s="16" t="s">
        <v>138</v>
      </c>
      <c r="AB9" s="16" t="s">
        <v>138</v>
      </c>
      <c r="AC9" s="16" t="s">
        <v>138</v>
      </c>
      <c r="AD9" s="16">
        <v>30000</v>
      </c>
      <c r="AE9" s="16" t="s">
        <v>138</v>
      </c>
      <c r="AF9" s="16">
        <v>15000</v>
      </c>
      <c r="AG9" s="16" t="s">
        <v>138</v>
      </c>
      <c r="AH9" s="16">
        <v>15000</v>
      </c>
      <c r="AI9" s="16" t="s">
        <v>138</v>
      </c>
      <c r="AJ9" s="16" t="s">
        <v>138</v>
      </c>
      <c r="AK9" s="16" t="s">
        <v>138</v>
      </c>
      <c r="AL9" s="16" t="s">
        <v>138</v>
      </c>
      <c r="AM9" s="16" t="s">
        <v>138</v>
      </c>
      <c r="AN9" s="16" t="s">
        <v>138</v>
      </c>
      <c r="AO9" s="16" t="s">
        <v>138</v>
      </c>
      <c r="AP9" s="16" t="s">
        <v>138</v>
      </c>
      <c r="AQ9" s="16" t="s">
        <v>138</v>
      </c>
      <c r="AR9" s="16" t="s">
        <v>138</v>
      </c>
      <c r="AS9" s="16" t="s">
        <v>138</v>
      </c>
      <c r="AT9" s="16" t="s">
        <v>138</v>
      </c>
      <c r="AU9" s="16" t="s">
        <v>138</v>
      </c>
      <c r="AV9" s="16" t="s">
        <v>138</v>
      </c>
      <c r="AW9" s="16" t="s">
        <v>138</v>
      </c>
      <c r="AX9" s="16" t="s">
        <v>138</v>
      </c>
      <c r="AY9" s="16" t="s">
        <v>138</v>
      </c>
      <c r="AZ9" s="16" t="s">
        <v>138</v>
      </c>
      <c r="BA9" s="16" t="s">
        <v>138</v>
      </c>
      <c r="BB9" s="16" t="s">
        <v>138</v>
      </c>
      <c r="BC9" s="16" t="s">
        <v>138</v>
      </c>
      <c r="BD9" s="16" t="s">
        <v>138</v>
      </c>
      <c r="BE9" s="16" t="s">
        <v>138</v>
      </c>
      <c r="BF9" s="16" t="s">
        <v>138</v>
      </c>
      <c r="BG9" s="16" t="s">
        <v>138</v>
      </c>
      <c r="BH9" s="16" t="s">
        <v>138</v>
      </c>
      <c r="BI9" s="16" t="s">
        <v>138</v>
      </c>
      <c r="BJ9" s="16" t="s">
        <v>138</v>
      </c>
      <c r="BK9" s="16" t="s">
        <v>138</v>
      </c>
      <c r="BL9" s="16" t="s">
        <v>138</v>
      </c>
      <c r="BM9" s="16" t="s">
        <v>138</v>
      </c>
      <c r="BN9" s="16" t="s">
        <v>138</v>
      </c>
      <c r="BO9" s="16" t="s">
        <v>138</v>
      </c>
      <c r="BP9" s="16" t="s">
        <v>138</v>
      </c>
      <c r="BQ9" s="16" t="s">
        <v>138</v>
      </c>
      <c r="BR9" s="16" t="s">
        <v>138</v>
      </c>
      <c r="BS9" s="16" t="s">
        <v>138</v>
      </c>
      <c r="BT9" s="16">
        <v>30000</v>
      </c>
      <c r="BU9" s="16" t="s">
        <v>138</v>
      </c>
      <c r="BV9" s="16" t="s">
        <v>138</v>
      </c>
      <c r="BW9" s="16" t="s">
        <v>138</v>
      </c>
      <c r="BX9" s="16" t="s">
        <v>138</v>
      </c>
      <c r="BY9" s="16" t="s">
        <v>138</v>
      </c>
      <c r="BZ9" s="16" t="s">
        <v>138</v>
      </c>
      <c r="CA9" s="16" t="s">
        <v>138</v>
      </c>
      <c r="CB9" s="16" t="s">
        <v>138</v>
      </c>
      <c r="CC9" s="16" t="s">
        <v>138</v>
      </c>
      <c r="CD9" s="16" t="s">
        <v>138</v>
      </c>
      <c r="CE9" s="16" t="s">
        <v>138</v>
      </c>
      <c r="CF9" s="16" t="s">
        <v>138</v>
      </c>
      <c r="CG9" s="16" t="s">
        <v>138</v>
      </c>
      <c r="CH9" s="16" t="s">
        <v>138</v>
      </c>
      <c r="CI9" s="16" t="s">
        <v>138</v>
      </c>
      <c r="CJ9" s="16" t="s">
        <v>138</v>
      </c>
      <c r="CK9" s="16" t="s">
        <v>138</v>
      </c>
      <c r="CL9" s="16" t="s">
        <v>138</v>
      </c>
      <c r="CM9" s="16" t="s">
        <v>138</v>
      </c>
      <c r="CN9" s="16" t="s">
        <v>138</v>
      </c>
      <c r="CO9" s="16" t="s">
        <v>138</v>
      </c>
      <c r="CP9" s="16" t="s">
        <v>138</v>
      </c>
      <c r="CQ9" s="16" t="s">
        <v>138</v>
      </c>
      <c r="CR9" s="16" t="s">
        <v>138</v>
      </c>
      <c r="CS9" s="16" t="s">
        <v>138</v>
      </c>
      <c r="CT9" s="16" t="s">
        <v>138</v>
      </c>
      <c r="CU9" s="16" t="s">
        <v>138</v>
      </c>
      <c r="CV9" s="16" t="s">
        <v>138</v>
      </c>
      <c r="CW9" s="16" t="s">
        <v>138</v>
      </c>
    </row>
    <row r="10" spans="1:101" s="24" customFormat="1" x14ac:dyDescent="0.25">
      <c r="A10" s="13">
        <v>47</v>
      </c>
      <c r="B10" s="16" t="s">
        <v>138</v>
      </c>
      <c r="C10" s="16" t="s">
        <v>138</v>
      </c>
      <c r="D10" s="16" t="s">
        <v>138</v>
      </c>
      <c r="E10" s="16" t="s">
        <v>138</v>
      </c>
      <c r="F10" s="16" t="s">
        <v>138</v>
      </c>
      <c r="G10" s="16" t="s">
        <v>138</v>
      </c>
      <c r="H10" s="16" t="s">
        <v>138</v>
      </c>
      <c r="I10" s="16" t="s">
        <v>138</v>
      </c>
      <c r="J10" s="16" t="s">
        <v>138</v>
      </c>
      <c r="K10" s="16" t="s">
        <v>138</v>
      </c>
      <c r="L10" s="16" t="s">
        <v>138</v>
      </c>
      <c r="M10" s="16" t="s">
        <v>138</v>
      </c>
      <c r="N10" s="16" t="s">
        <v>138</v>
      </c>
      <c r="O10" s="16" t="s">
        <v>138</v>
      </c>
      <c r="P10" s="16" t="s">
        <v>138</v>
      </c>
      <c r="Q10" s="16" t="s">
        <v>138</v>
      </c>
      <c r="R10" s="16" t="s">
        <v>138</v>
      </c>
      <c r="S10" s="16" t="s">
        <v>138</v>
      </c>
      <c r="T10" s="16" t="s">
        <v>138</v>
      </c>
      <c r="U10" s="16">
        <v>7200</v>
      </c>
      <c r="V10" s="16" t="s">
        <v>138</v>
      </c>
      <c r="W10" s="16" t="s">
        <v>138</v>
      </c>
      <c r="X10" s="16" t="s">
        <v>138</v>
      </c>
      <c r="Y10" s="16">
        <v>19000</v>
      </c>
      <c r="Z10" s="16" t="s">
        <v>138</v>
      </c>
      <c r="AA10" s="16" t="s">
        <v>138</v>
      </c>
      <c r="AB10" s="16" t="s">
        <v>138</v>
      </c>
      <c r="AC10" s="16" t="s">
        <v>138</v>
      </c>
      <c r="AD10" s="16" t="s">
        <v>138</v>
      </c>
      <c r="AE10" s="16" t="s">
        <v>138</v>
      </c>
      <c r="AF10" s="16">
        <v>15000</v>
      </c>
      <c r="AG10" s="16" t="s">
        <v>138</v>
      </c>
      <c r="AH10" s="16">
        <v>15000</v>
      </c>
      <c r="AI10" s="16" t="s">
        <v>138</v>
      </c>
      <c r="AJ10" s="16" t="s">
        <v>138</v>
      </c>
      <c r="AK10" s="16" t="s">
        <v>138</v>
      </c>
      <c r="AL10" s="16" t="s">
        <v>138</v>
      </c>
      <c r="AM10" s="16" t="s">
        <v>138</v>
      </c>
      <c r="AN10" s="16" t="s">
        <v>138</v>
      </c>
      <c r="AO10" s="16" t="s">
        <v>138</v>
      </c>
      <c r="AP10" s="16" t="s">
        <v>138</v>
      </c>
      <c r="AQ10" s="16" t="s">
        <v>138</v>
      </c>
      <c r="AR10" s="16" t="s">
        <v>138</v>
      </c>
      <c r="AS10" s="16" t="s">
        <v>138</v>
      </c>
      <c r="AT10" s="16" t="s">
        <v>138</v>
      </c>
      <c r="AU10" s="16" t="s">
        <v>138</v>
      </c>
      <c r="AV10" s="16" t="s">
        <v>138</v>
      </c>
      <c r="AW10" s="16" t="s">
        <v>138</v>
      </c>
      <c r="AX10" s="16" t="s">
        <v>138</v>
      </c>
      <c r="AY10" s="16" t="s">
        <v>138</v>
      </c>
      <c r="AZ10" s="16" t="s">
        <v>138</v>
      </c>
      <c r="BA10" s="16" t="s">
        <v>138</v>
      </c>
      <c r="BB10" s="16" t="s">
        <v>138</v>
      </c>
      <c r="BC10" s="16" t="s">
        <v>138</v>
      </c>
      <c r="BD10" s="16" t="s">
        <v>138</v>
      </c>
      <c r="BE10" s="16" t="s">
        <v>138</v>
      </c>
      <c r="BF10" s="16" t="s">
        <v>138</v>
      </c>
      <c r="BG10" s="16" t="s">
        <v>138</v>
      </c>
      <c r="BH10" s="16" t="s">
        <v>138</v>
      </c>
      <c r="BI10" s="16" t="s">
        <v>138</v>
      </c>
      <c r="BJ10" s="16" t="s">
        <v>138</v>
      </c>
      <c r="BK10" s="16" t="s">
        <v>138</v>
      </c>
      <c r="BL10" s="16" t="s">
        <v>138</v>
      </c>
      <c r="BM10" s="16" t="s">
        <v>138</v>
      </c>
      <c r="BN10" s="16" t="s">
        <v>138</v>
      </c>
      <c r="BO10" s="16" t="s">
        <v>138</v>
      </c>
      <c r="BP10" s="16" t="s">
        <v>138</v>
      </c>
      <c r="BQ10" s="16" t="s">
        <v>138</v>
      </c>
      <c r="BR10" s="16" t="s">
        <v>138</v>
      </c>
      <c r="BS10" s="16" t="s">
        <v>138</v>
      </c>
      <c r="BT10" s="16" t="s">
        <v>138</v>
      </c>
      <c r="BU10" s="16" t="s">
        <v>138</v>
      </c>
      <c r="BV10" s="16" t="s">
        <v>138</v>
      </c>
      <c r="BW10" s="16" t="s">
        <v>138</v>
      </c>
      <c r="BX10" s="16" t="s">
        <v>138</v>
      </c>
      <c r="BY10" s="16" t="s">
        <v>138</v>
      </c>
      <c r="BZ10" s="16" t="s">
        <v>138</v>
      </c>
      <c r="CA10" s="16" t="s">
        <v>138</v>
      </c>
      <c r="CB10" s="16" t="s">
        <v>138</v>
      </c>
      <c r="CC10" s="16" t="s">
        <v>138</v>
      </c>
      <c r="CD10" s="16" t="s">
        <v>138</v>
      </c>
      <c r="CE10" s="16" t="s">
        <v>138</v>
      </c>
      <c r="CF10" s="16">
        <v>19000</v>
      </c>
      <c r="CG10" s="16" t="s">
        <v>138</v>
      </c>
      <c r="CH10" s="16" t="s">
        <v>138</v>
      </c>
      <c r="CI10" s="16" t="s">
        <v>138</v>
      </c>
      <c r="CJ10" s="16" t="s">
        <v>138</v>
      </c>
      <c r="CK10" s="16" t="s">
        <v>138</v>
      </c>
      <c r="CL10" s="16" t="s">
        <v>138</v>
      </c>
      <c r="CM10" s="16" t="s">
        <v>138</v>
      </c>
      <c r="CN10" s="16" t="s">
        <v>138</v>
      </c>
      <c r="CO10" s="16" t="s">
        <v>138</v>
      </c>
      <c r="CP10" s="16" t="s">
        <v>138</v>
      </c>
      <c r="CQ10" s="16" t="s">
        <v>138</v>
      </c>
      <c r="CR10" s="16" t="s">
        <v>138</v>
      </c>
      <c r="CS10" s="16" t="s">
        <v>138</v>
      </c>
      <c r="CT10" s="16" t="s">
        <v>138</v>
      </c>
      <c r="CU10" s="16" t="s">
        <v>138</v>
      </c>
      <c r="CV10" s="16" t="s">
        <v>138</v>
      </c>
      <c r="CW10" s="16" t="s">
        <v>138</v>
      </c>
    </row>
    <row r="11" spans="1:101" s="24" customFormat="1" x14ac:dyDescent="0.25">
      <c r="A11" s="13">
        <v>48</v>
      </c>
      <c r="B11" s="16" t="s">
        <v>138</v>
      </c>
      <c r="C11" s="16" t="s">
        <v>138</v>
      </c>
      <c r="D11" s="16" t="s">
        <v>138</v>
      </c>
      <c r="E11" s="16">
        <v>15000</v>
      </c>
      <c r="F11" s="16" t="s">
        <v>138</v>
      </c>
      <c r="G11" s="16" t="s">
        <v>138</v>
      </c>
      <c r="H11" s="16" t="s">
        <v>138</v>
      </c>
      <c r="I11" s="16" t="s">
        <v>138</v>
      </c>
      <c r="J11" s="16" t="s">
        <v>138</v>
      </c>
      <c r="K11" s="16" t="s">
        <v>138</v>
      </c>
      <c r="L11" s="16" t="s">
        <v>138</v>
      </c>
      <c r="M11" s="16" t="s">
        <v>138</v>
      </c>
      <c r="N11" s="16" t="s">
        <v>138</v>
      </c>
      <c r="O11" s="16" t="s">
        <v>138</v>
      </c>
      <c r="P11" s="16" t="s">
        <v>138</v>
      </c>
      <c r="Q11" s="16" t="s">
        <v>138</v>
      </c>
      <c r="R11" s="16" t="s">
        <v>138</v>
      </c>
      <c r="S11" s="16" t="s">
        <v>138</v>
      </c>
      <c r="T11" s="16" t="s">
        <v>138</v>
      </c>
      <c r="U11" s="16">
        <v>7200</v>
      </c>
      <c r="V11" s="16" t="s">
        <v>138</v>
      </c>
      <c r="W11" s="16" t="s">
        <v>138</v>
      </c>
      <c r="X11" s="16" t="s">
        <v>138</v>
      </c>
      <c r="Y11" s="16">
        <v>19000</v>
      </c>
      <c r="Z11" s="16" t="s">
        <v>138</v>
      </c>
      <c r="AA11" s="16" t="s">
        <v>138</v>
      </c>
      <c r="AB11" s="16" t="s">
        <v>138</v>
      </c>
      <c r="AC11" s="16" t="s">
        <v>138</v>
      </c>
      <c r="AD11" s="16">
        <v>30000</v>
      </c>
      <c r="AE11" s="16" t="s">
        <v>138</v>
      </c>
      <c r="AF11" s="16">
        <v>15000</v>
      </c>
      <c r="AG11" s="16" t="s">
        <v>138</v>
      </c>
      <c r="AH11" s="16">
        <v>15000</v>
      </c>
      <c r="AI11" s="16" t="s">
        <v>138</v>
      </c>
      <c r="AJ11" s="16" t="s">
        <v>138</v>
      </c>
      <c r="AK11" s="16" t="s">
        <v>138</v>
      </c>
      <c r="AL11" s="16" t="s">
        <v>138</v>
      </c>
      <c r="AM11" s="16" t="s">
        <v>138</v>
      </c>
      <c r="AN11" s="16" t="s">
        <v>138</v>
      </c>
      <c r="AO11" s="16" t="s">
        <v>138</v>
      </c>
      <c r="AP11" s="16" t="s">
        <v>138</v>
      </c>
      <c r="AQ11" s="16" t="s">
        <v>138</v>
      </c>
      <c r="AR11" s="16" t="s">
        <v>138</v>
      </c>
      <c r="AS11" s="16" t="s">
        <v>138</v>
      </c>
      <c r="AT11" s="16" t="s">
        <v>138</v>
      </c>
      <c r="AU11" s="16" t="s">
        <v>138</v>
      </c>
      <c r="AV11" s="16" t="s">
        <v>138</v>
      </c>
      <c r="AW11" s="16" t="s">
        <v>138</v>
      </c>
      <c r="AX11" s="16" t="s">
        <v>138</v>
      </c>
      <c r="AY11" s="16" t="s">
        <v>138</v>
      </c>
      <c r="AZ11" s="16" t="s">
        <v>138</v>
      </c>
      <c r="BA11" s="16" t="s">
        <v>138</v>
      </c>
      <c r="BB11" s="16" t="s">
        <v>138</v>
      </c>
      <c r="BC11" s="16" t="s">
        <v>138</v>
      </c>
      <c r="BD11" s="16" t="s">
        <v>138</v>
      </c>
      <c r="BE11" s="16" t="s">
        <v>138</v>
      </c>
      <c r="BF11" s="16" t="s">
        <v>138</v>
      </c>
      <c r="BG11" s="16" t="s">
        <v>138</v>
      </c>
      <c r="BH11" s="16" t="s">
        <v>138</v>
      </c>
      <c r="BI11" s="16" t="s">
        <v>138</v>
      </c>
      <c r="BJ11" s="16" t="s">
        <v>138</v>
      </c>
      <c r="BK11" s="16" t="s">
        <v>138</v>
      </c>
      <c r="BL11" s="16" t="s">
        <v>138</v>
      </c>
      <c r="BM11" s="16" t="s">
        <v>138</v>
      </c>
      <c r="BN11" s="16" t="s">
        <v>138</v>
      </c>
      <c r="BO11" s="16" t="s">
        <v>138</v>
      </c>
      <c r="BP11" s="16" t="s">
        <v>138</v>
      </c>
      <c r="BQ11" s="16" t="s">
        <v>138</v>
      </c>
      <c r="BR11" s="16" t="s">
        <v>138</v>
      </c>
      <c r="BS11" s="16" t="s">
        <v>138</v>
      </c>
      <c r="BT11" s="16">
        <v>30000</v>
      </c>
      <c r="BU11" s="16" t="s">
        <v>138</v>
      </c>
      <c r="BV11" s="16" t="s">
        <v>138</v>
      </c>
      <c r="BW11" s="16" t="s">
        <v>138</v>
      </c>
      <c r="BX11" s="16" t="s">
        <v>138</v>
      </c>
      <c r="BY11" s="16">
        <v>7200</v>
      </c>
      <c r="BZ11" s="16" t="s">
        <v>138</v>
      </c>
      <c r="CA11" s="16" t="s">
        <v>138</v>
      </c>
      <c r="CB11" s="16" t="s">
        <v>138</v>
      </c>
      <c r="CC11" s="16" t="s">
        <v>138</v>
      </c>
      <c r="CD11" s="16" t="s">
        <v>138</v>
      </c>
      <c r="CE11" s="16" t="s">
        <v>138</v>
      </c>
      <c r="CF11" s="16">
        <v>19000</v>
      </c>
      <c r="CG11" s="16" t="s">
        <v>138</v>
      </c>
      <c r="CH11" s="16" t="s">
        <v>138</v>
      </c>
      <c r="CI11" s="16">
        <v>30000</v>
      </c>
      <c r="CJ11" s="16" t="s">
        <v>138</v>
      </c>
      <c r="CK11" s="16" t="s">
        <v>138</v>
      </c>
      <c r="CL11" s="16" t="s">
        <v>138</v>
      </c>
      <c r="CM11" s="16" t="s">
        <v>138</v>
      </c>
      <c r="CN11" s="16" t="s">
        <v>138</v>
      </c>
      <c r="CO11" s="16" t="s">
        <v>138</v>
      </c>
      <c r="CP11" s="16" t="s">
        <v>138</v>
      </c>
      <c r="CQ11" s="16" t="s">
        <v>138</v>
      </c>
      <c r="CR11" s="16" t="s">
        <v>138</v>
      </c>
      <c r="CS11" s="16" t="s">
        <v>138</v>
      </c>
      <c r="CT11" s="16" t="s">
        <v>138</v>
      </c>
      <c r="CU11" s="16" t="s">
        <v>138</v>
      </c>
      <c r="CV11" s="16" t="s">
        <v>138</v>
      </c>
      <c r="CW11" s="16" t="s">
        <v>138</v>
      </c>
    </row>
    <row r="12" spans="1:101" s="24" customFormat="1" x14ac:dyDescent="0.25">
      <c r="A12" s="13">
        <v>49</v>
      </c>
      <c r="B12" s="16" t="s">
        <v>138</v>
      </c>
      <c r="C12" s="16" t="s">
        <v>138</v>
      </c>
      <c r="D12" s="16" t="s">
        <v>138</v>
      </c>
      <c r="E12" s="16">
        <v>15000</v>
      </c>
      <c r="F12" s="16" t="s">
        <v>138</v>
      </c>
      <c r="G12" s="16" t="s">
        <v>138</v>
      </c>
      <c r="H12" s="16" t="s">
        <v>138</v>
      </c>
      <c r="I12" s="16" t="s">
        <v>138</v>
      </c>
      <c r="J12" s="16" t="s">
        <v>138</v>
      </c>
      <c r="K12" s="16" t="s">
        <v>138</v>
      </c>
      <c r="L12" s="16" t="s">
        <v>138</v>
      </c>
      <c r="M12" s="16" t="s">
        <v>138</v>
      </c>
      <c r="N12" s="16" t="s">
        <v>138</v>
      </c>
      <c r="O12" s="16" t="s">
        <v>138</v>
      </c>
      <c r="P12" s="16" t="s">
        <v>138</v>
      </c>
      <c r="Q12" s="16" t="s">
        <v>138</v>
      </c>
      <c r="R12" s="16" t="s">
        <v>138</v>
      </c>
      <c r="S12" s="16" t="s">
        <v>138</v>
      </c>
      <c r="T12" s="16" t="s">
        <v>138</v>
      </c>
      <c r="U12" s="16">
        <v>7200</v>
      </c>
      <c r="V12" s="16" t="s">
        <v>138</v>
      </c>
      <c r="W12" s="16" t="s">
        <v>138</v>
      </c>
      <c r="X12" s="16" t="s">
        <v>138</v>
      </c>
      <c r="Y12" s="16">
        <v>19000</v>
      </c>
      <c r="Z12" s="16" t="s">
        <v>138</v>
      </c>
      <c r="AA12" s="16" t="s">
        <v>138</v>
      </c>
      <c r="AB12" s="16" t="s">
        <v>138</v>
      </c>
      <c r="AC12" s="16" t="s">
        <v>138</v>
      </c>
      <c r="AD12" s="16" t="s">
        <v>138</v>
      </c>
      <c r="AE12" s="16" t="s">
        <v>138</v>
      </c>
      <c r="AF12" s="16">
        <v>15000</v>
      </c>
      <c r="AG12" s="16" t="s">
        <v>138</v>
      </c>
      <c r="AH12" s="16">
        <v>15000</v>
      </c>
      <c r="AI12" s="16" t="s">
        <v>138</v>
      </c>
      <c r="AJ12" s="16" t="s">
        <v>138</v>
      </c>
      <c r="AK12" s="16" t="s">
        <v>138</v>
      </c>
      <c r="AL12" s="16" t="s">
        <v>138</v>
      </c>
      <c r="AM12" s="16" t="s">
        <v>138</v>
      </c>
      <c r="AN12" s="16" t="s">
        <v>138</v>
      </c>
      <c r="AO12" s="16" t="s">
        <v>138</v>
      </c>
      <c r="AP12" s="16" t="s">
        <v>138</v>
      </c>
      <c r="AQ12" s="16" t="s">
        <v>138</v>
      </c>
      <c r="AR12" s="16" t="s">
        <v>138</v>
      </c>
      <c r="AS12" s="16" t="s">
        <v>138</v>
      </c>
      <c r="AT12" s="16" t="s">
        <v>138</v>
      </c>
      <c r="AU12" s="16" t="s">
        <v>138</v>
      </c>
      <c r="AV12" s="16" t="s">
        <v>138</v>
      </c>
      <c r="AW12" s="16" t="s">
        <v>138</v>
      </c>
      <c r="AX12" s="16" t="s">
        <v>138</v>
      </c>
      <c r="AY12" s="16" t="s">
        <v>138</v>
      </c>
      <c r="AZ12" s="16" t="s">
        <v>138</v>
      </c>
      <c r="BA12" s="16" t="s">
        <v>138</v>
      </c>
      <c r="BB12" s="16" t="s">
        <v>138</v>
      </c>
      <c r="BC12" s="16" t="s">
        <v>138</v>
      </c>
      <c r="BD12" s="16" t="s">
        <v>138</v>
      </c>
      <c r="BE12" s="16" t="s">
        <v>138</v>
      </c>
      <c r="BF12" s="16" t="s">
        <v>138</v>
      </c>
      <c r="BG12" s="16" t="s">
        <v>138</v>
      </c>
      <c r="BH12" s="16" t="s">
        <v>138</v>
      </c>
      <c r="BI12" s="16" t="s">
        <v>138</v>
      </c>
      <c r="BJ12" s="16" t="s">
        <v>138</v>
      </c>
      <c r="BK12" s="16" t="s">
        <v>138</v>
      </c>
      <c r="BL12" s="16" t="s">
        <v>138</v>
      </c>
      <c r="BM12" s="16" t="s">
        <v>138</v>
      </c>
      <c r="BN12" s="16" t="s">
        <v>138</v>
      </c>
      <c r="BO12" s="16" t="s">
        <v>138</v>
      </c>
      <c r="BP12" s="16" t="s">
        <v>138</v>
      </c>
      <c r="BQ12" s="16" t="s">
        <v>138</v>
      </c>
      <c r="BR12" s="16" t="s">
        <v>138</v>
      </c>
      <c r="BS12" s="16" t="s">
        <v>138</v>
      </c>
      <c r="BT12" s="16" t="s">
        <v>138</v>
      </c>
      <c r="BU12" s="16" t="s">
        <v>138</v>
      </c>
      <c r="BV12" s="16" t="s">
        <v>138</v>
      </c>
      <c r="BW12" s="16" t="s">
        <v>138</v>
      </c>
      <c r="BX12" s="16" t="s">
        <v>138</v>
      </c>
      <c r="BY12" s="16">
        <v>7200</v>
      </c>
      <c r="BZ12" s="16" t="s">
        <v>138</v>
      </c>
      <c r="CA12" s="16" t="s">
        <v>138</v>
      </c>
      <c r="CB12" s="16" t="s">
        <v>138</v>
      </c>
      <c r="CC12" s="16" t="s">
        <v>138</v>
      </c>
      <c r="CD12" s="16" t="s">
        <v>138</v>
      </c>
      <c r="CE12" s="16" t="s">
        <v>138</v>
      </c>
      <c r="CF12" s="16">
        <v>19000</v>
      </c>
      <c r="CG12" s="16" t="s">
        <v>138</v>
      </c>
      <c r="CH12" s="16" t="s">
        <v>138</v>
      </c>
      <c r="CI12" s="16" t="s">
        <v>138</v>
      </c>
      <c r="CJ12" s="16" t="s">
        <v>138</v>
      </c>
      <c r="CK12" s="16" t="s">
        <v>138</v>
      </c>
      <c r="CL12" s="16" t="s">
        <v>138</v>
      </c>
      <c r="CM12" s="16" t="s">
        <v>138</v>
      </c>
      <c r="CN12" s="16" t="s">
        <v>138</v>
      </c>
      <c r="CO12" s="16" t="s">
        <v>138</v>
      </c>
      <c r="CP12" s="16" t="s">
        <v>138</v>
      </c>
      <c r="CQ12" s="16" t="s">
        <v>138</v>
      </c>
      <c r="CR12" s="16" t="s">
        <v>138</v>
      </c>
      <c r="CS12" s="16" t="s">
        <v>138</v>
      </c>
      <c r="CT12" s="16" t="s">
        <v>138</v>
      </c>
      <c r="CU12" s="16" t="s">
        <v>138</v>
      </c>
      <c r="CV12" s="16" t="s">
        <v>138</v>
      </c>
      <c r="CW12" s="16" t="s">
        <v>138</v>
      </c>
    </row>
    <row r="13" spans="1:101" s="24" customFormat="1" x14ac:dyDescent="0.25">
      <c r="A13" s="13">
        <v>50</v>
      </c>
      <c r="B13" s="16" t="s">
        <v>138</v>
      </c>
      <c r="C13" s="16" t="s">
        <v>138</v>
      </c>
      <c r="D13" s="16">
        <v>7200</v>
      </c>
      <c r="E13" s="16">
        <v>15000</v>
      </c>
      <c r="F13" s="16" t="s">
        <v>138</v>
      </c>
      <c r="G13" s="16" t="s">
        <v>138</v>
      </c>
      <c r="H13" s="16" t="s">
        <v>138</v>
      </c>
      <c r="I13" s="16" t="s">
        <v>138</v>
      </c>
      <c r="J13" s="16" t="s">
        <v>138</v>
      </c>
      <c r="K13" s="16" t="s">
        <v>138</v>
      </c>
      <c r="L13" s="16" t="s">
        <v>138</v>
      </c>
      <c r="M13" s="16" t="s">
        <v>138</v>
      </c>
      <c r="N13" s="16" t="s">
        <v>138</v>
      </c>
      <c r="O13" s="16" t="s">
        <v>138</v>
      </c>
      <c r="P13" s="16" t="s">
        <v>138</v>
      </c>
      <c r="Q13" s="16" t="s">
        <v>138</v>
      </c>
      <c r="R13" s="16" t="s">
        <v>138</v>
      </c>
      <c r="S13" s="16" t="s">
        <v>138</v>
      </c>
      <c r="T13" s="16" t="s">
        <v>138</v>
      </c>
      <c r="U13" s="16">
        <v>7200</v>
      </c>
      <c r="V13" s="16" t="s">
        <v>138</v>
      </c>
      <c r="W13" s="16" t="s">
        <v>138</v>
      </c>
      <c r="X13" s="16" t="s">
        <v>138</v>
      </c>
      <c r="Y13" s="16">
        <v>19000</v>
      </c>
      <c r="Z13" s="16" t="s">
        <v>138</v>
      </c>
      <c r="AA13" s="16" t="s">
        <v>138</v>
      </c>
      <c r="AB13" s="16" t="s">
        <v>138</v>
      </c>
      <c r="AC13" s="16" t="s">
        <v>138</v>
      </c>
      <c r="AD13" s="16">
        <v>30000</v>
      </c>
      <c r="AE13" s="16" t="s">
        <v>138</v>
      </c>
      <c r="AF13" s="16">
        <v>15000</v>
      </c>
      <c r="AG13" s="16" t="s">
        <v>138</v>
      </c>
      <c r="AH13" s="16">
        <v>15000</v>
      </c>
      <c r="AI13" s="16" t="s">
        <v>138</v>
      </c>
      <c r="AJ13" s="16" t="s">
        <v>138</v>
      </c>
      <c r="AK13" s="16" t="s">
        <v>138</v>
      </c>
      <c r="AL13" s="16" t="s">
        <v>138</v>
      </c>
      <c r="AM13" s="16" t="s">
        <v>138</v>
      </c>
      <c r="AN13" s="16" t="s">
        <v>138</v>
      </c>
      <c r="AO13" s="16" t="s">
        <v>138</v>
      </c>
      <c r="AP13" s="16" t="s">
        <v>138</v>
      </c>
      <c r="AQ13" s="16" t="s">
        <v>138</v>
      </c>
      <c r="AR13" s="16" t="s">
        <v>138</v>
      </c>
      <c r="AS13" s="16" t="s">
        <v>138</v>
      </c>
      <c r="AT13" s="16" t="s">
        <v>138</v>
      </c>
      <c r="AU13" s="16" t="s">
        <v>138</v>
      </c>
      <c r="AV13" s="16" t="s">
        <v>138</v>
      </c>
      <c r="AW13" s="16" t="s">
        <v>138</v>
      </c>
      <c r="AX13" s="16" t="s">
        <v>138</v>
      </c>
      <c r="AY13" s="16" t="s">
        <v>138</v>
      </c>
      <c r="AZ13" s="16" t="s">
        <v>138</v>
      </c>
      <c r="BA13" s="16" t="s">
        <v>138</v>
      </c>
      <c r="BB13" s="16">
        <v>7200</v>
      </c>
      <c r="BC13" s="16" t="s">
        <v>138</v>
      </c>
      <c r="BD13" s="16" t="s">
        <v>138</v>
      </c>
      <c r="BE13" s="16" t="s">
        <v>138</v>
      </c>
      <c r="BF13" s="16" t="s">
        <v>138</v>
      </c>
      <c r="BG13" s="16" t="s">
        <v>138</v>
      </c>
      <c r="BH13" s="16" t="s">
        <v>138</v>
      </c>
      <c r="BI13" s="16" t="s">
        <v>138</v>
      </c>
      <c r="BJ13" s="16" t="s">
        <v>138</v>
      </c>
      <c r="BK13" s="16" t="s">
        <v>138</v>
      </c>
      <c r="BL13" s="16" t="s">
        <v>138</v>
      </c>
      <c r="BM13" s="16" t="s">
        <v>138</v>
      </c>
      <c r="BN13" s="16" t="s">
        <v>138</v>
      </c>
      <c r="BO13" s="16" t="s">
        <v>138</v>
      </c>
      <c r="BP13" s="16" t="s">
        <v>138</v>
      </c>
      <c r="BQ13" s="16" t="s">
        <v>138</v>
      </c>
      <c r="BR13" s="16" t="s">
        <v>138</v>
      </c>
      <c r="BS13" s="16">
        <v>30000</v>
      </c>
      <c r="BT13" s="16">
        <v>30000</v>
      </c>
      <c r="BU13" s="16" t="s">
        <v>138</v>
      </c>
      <c r="BV13" s="16" t="s">
        <v>138</v>
      </c>
      <c r="BW13" s="16" t="s">
        <v>138</v>
      </c>
      <c r="BX13" s="16" t="s">
        <v>138</v>
      </c>
      <c r="BY13" s="16">
        <v>7200</v>
      </c>
      <c r="BZ13" s="16" t="s">
        <v>138</v>
      </c>
      <c r="CA13" s="16" t="s">
        <v>138</v>
      </c>
      <c r="CB13" s="16" t="s">
        <v>138</v>
      </c>
      <c r="CC13" s="16" t="s">
        <v>138</v>
      </c>
      <c r="CD13" s="16" t="s">
        <v>138</v>
      </c>
      <c r="CE13" s="16" t="s">
        <v>138</v>
      </c>
      <c r="CF13" s="16">
        <v>19000</v>
      </c>
      <c r="CG13" s="16" t="s">
        <v>138</v>
      </c>
      <c r="CH13" s="16" t="s">
        <v>138</v>
      </c>
      <c r="CI13" s="16">
        <v>30000</v>
      </c>
      <c r="CJ13" s="16" t="s">
        <v>138</v>
      </c>
      <c r="CK13" s="16" t="s">
        <v>138</v>
      </c>
      <c r="CL13" s="16" t="s">
        <v>138</v>
      </c>
      <c r="CM13" s="16" t="s">
        <v>138</v>
      </c>
      <c r="CN13" s="16" t="s">
        <v>138</v>
      </c>
      <c r="CO13" s="16" t="s">
        <v>138</v>
      </c>
      <c r="CP13" s="16" t="s">
        <v>138</v>
      </c>
      <c r="CQ13" s="16" t="s">
        <v>138</v>
      </c>
      <c r="CR13" s="16" t="s">
        <v>138</v>
      </c>
      <c r="CS13" s="16" t="s">
        <v>138</v>
      </c>
      <c r="CT13" s="16" t="s">
        <v>138</v>
      </c>
      <c r="CU13" s="16" t="s">
        <v>138</v>
      </c>
      <c r="CV13" s="16" t="s">
        <v>138</v>
      </c>
      <c r="CW13" s="16" t="s">
        <v>138</v>
      </c>
    </row>
    <row r="14" spans="1:101" s="24" customFormat="1" x14ac:dyDescent="0.25">
      <c r="A14" s="13">
        <v>51</v>
      </c>
      <c r="B14" s="16" t="s">
        <v>138</v>
      </c>
      <c r="C14" s="16" t="s">
        <v>138</v>
      </c>
      <c r="D14" s="16">
        <v>7200</v>
      </c>
      <c r="E14" s="16">
        <v>15000</v>
      </c>
      <c r="F14" s="16" t="s">
        <v>138</v>
      </c>
      <c r="G14" s="16" t="s">
        <v>138</v>
      </c>
      <c r="H14" s="16" t="s">
        <v>138</v>
      </c>
      <c r="I14" s="16" t="s">
        <v>138</v>
      </c>
      <c r="J14" s="16" t="s">
        <v>138</v>
      </c>
      <c r="K14" s="16" t="s">
        <v>138</v>
      </c>
      <c r="L14" s="16" t="s">
        <v>138</v>
      </c>
      <c r="M14" s="16" t="s">
        <v>138</v>
      </c>
      <c r="N14" s="16" t="s">
        <v>138</v>
      </c>
      <c r="O14" s="16" t="s">
        <v>138</v>
      </c>
      <c r="P14" s="16" t="s">
        <v>138</v>
      </c>
      <c r="Q14" s="16" t="s">
        <v>138</v>
      </c>
      <c r="R14" s="16" t="s">
        <v>138</v>
      </c>
      <c r="S14" s="16" t="s">
        <v>138</v>
      </c>
      <c r="T14" s="16" t="s">
        <v>138</v>
      </c>
      <c r="U14" s="16">
        <v>7200</v>
      </c>
      <c r="V14" s="16" t="s">
        <v>138</v>
      </c>
      <c r="W14" s="16" t="s">
        <v>138</v>
      </c>
      <c r="X14" s="16" t="s">
        <v>138</v>
      </c>
      <c r="Y14" s="16">
        <v>19000</v>
      </c>
      <c r="Z14" s="16" t="s">
        <v>138</v>
      </c>
      <c r="AA14" s="16" t="s">
        <v>138</v>
      </c>
      <c r="AB14" s="16" t="s">
        <v>138</v>
      </c>
      <c r="AC14" s="16" t="s">
        <v>138</v>
      </c>
      <c r="AD14" s="16" t="s">
        <v>138</v>
      </c>
      <c r="AE14" s="16" t="s">
        <v>138</v>
      </c>
      <c r="AF14" s="16">
        <v>15000</v>
      </c>
      <c r="AG14" s="16" t="s">
        <v>138</v>
      </c>
      <c r="AH14" s="16">
        <v>15000</v>
      </c>
      <c r="AI14" s="16" t="s">
        <v>138</v>
      </c>
      <c r="AJ14" s="16" t="s">
        <v>138</v>
      </c>
      <c r="AK14" s="16" t="s">
        <v>138</v>
      </c>
      <c r="AL14" s="16" t="s">
        <v>138</v>
      </c>
      <c r="AM14" s="16" t="s">
        <v>138</v>
      </c>
      <c r="AN14" s="16" t="s">
        <v>138</v>
      </c>
      <c r="AO14" s="16" t="s">
        <v>138</v>
      </c>
      <c r="AP14" s="16" t="s">
        <v>138</v>
      </c>
      <c r="AQ14" s="16" t="s">
        <v>138</v>
      </c>
      <c r="AR14" s="16" t="s">
        <v>138</v>
      </c>
      <c r="AS14" s="16" t="s">
        <v>138</v>
      </c>
      <c r="AT14" s="16" t="s">
        <v>138</v>
      </c>
      <c r="AU14" s="16" t="s">
        <v>138</v>
      </c>
      <c r="AV14" s="16" t="s">
        <v>138</v>
      </c>
      <c r="AW14" s="16" t="s">
        <v>138</v>
      </c>
      <c r="AX14" s="16" t="s">
        <v>138</v>
      </c>
      <c r="AY14" s="16" t="s">
        <v>138</v>
      </c>
      <c r="AZ14" s="16" t="s">
        <v>138</v>
      </c>
      <c r="BA14" s="16" t="s">
        <v>138</v>
      </c>
      <c r="BB14" s="16">
        <v>7200</v>
      </c>
      <c r="BC14" s="16" t="s">
        <v>138</v>
      </c>
      <c r="BD14" s="16" t="s">
        <v>138</v>
      </c>
      <c r="BE14" s="16" t="s">
        <v>138</v>
      </c>
      <c r="BF14" s="16" t="s">
        <v>138</v>
      </c>
      <c r="BG14" s="16" t="s">
        <v>138</v>
      </c>
      <c r="BH14" s="16" t="s">
        <v>138</v>
      </c>
      <c r="BI14" s="16">
        <v>15000</v>
      </c>
      <c r="BJ14" s="16" t="s">
        <v>138</v>
      </c>
      <c r="BK14" s="16" t="s">
        <v>138</v>
      </c>
      <c r="BL14" s="16" t="s">
        <v>138</v>
      </c>
      <c r="BM14" s="16" t="s">
        <v>138</v>
      </c>
      <c r="BN14" s="16" t="s">
        <v>138</v>
      </c>
      <c r="BO14" s="16" t="s">
        <v>138</v>
      </c>
      <c r="BP14" s="16" t="s">
        <v>138</v>
      </c>
      <c r="BQ14" s="16" t="s">
        <v>138</v>
      </c>
      <c r="BR14" s="16" t="s">
        <v>138</v>
      </c>
      <c r="BS14" s="16" t="s">
        <v>138</v>
      </c>
      <c r="BT14" s="16" t="s">
        <v>138</v>
      </c>
      <c r="BU14" s="16" t="s">
        <v>138</v>
      </c>
      <c r="BV14" s="16" t="s">
        <v>138</v>
      </c>
      <c r="BW14" s="16" t="s">
        <v>138</v>
      </c>
      <c r="BX14" s="16" t="s">
        <v>138</v>
      </c>
      <c r="BY14" s="16">
        <v>7200</v>
      </c>
      <c r="BZ14" s="16" t="s">
        <v>138</v>
      </c>
      <c r="CA14" s="16" t="s">
        <v>138</v>
      </c>
      <c r="CB14" s="16" t="s">
        <v>138</v>
      </c>
      <c r="CC14" s="16" t="s">
        <v>138</v>
      </c>
      <c r="CD14" s="16" t="s">
        <v>138</v>
      </c>
      <c r="CE14" s="16" t="s">
        <v>138</v>
      </c>
      <c r="CF14" s="16">
        <v>25000</v>
      </c>
      <c r="CG14" s="16" t="s">
        <v>138</v>
      </c>
      <c r="CH14" s="16">
        <v>15000</v>
      </c>
      <c r="CI14" s="16" t="s">
        <v>138</v>
      </c>
      <c r="CJ14" s="16" t="s">
        <v>138</v>
      </c>
      <c r="CK14" s="16" t="s">
        <v>138</v>
      </c>
      <c r="CL14" s="16" t="s">
        <v>138</v>
      </c>
      <c r="CM14" s="16" t="s">
        <v>138</v>
      </c>
      <c r="CN14" s="16" t="s">
        <v>138</v>
      </c>
      <c r="CO14" s="16" t="s">
        <v>138</v>
      </c>
      <c r="CP14" s="16" t="s">
        <v>138</v>
      </c>
      <c r="CQ14" s="16" t="s">
        <v>138</v>
      </c>
      <c r="CR14" s="16" t="s">
        <v>138</v>
      </c>
      <c r="CS14" s="16" t="s">
        <v>138</v>
      </c>
      <c r="CT14" s="16" t="s">
        <v>138</v>
      </c>
      <c r="CU14" s="16" t="s">
        <v>138</v>
      </c>
      <c r="CV14" s="16">
        <v>7200</v>
      </c>
      <c r="CW14" s="16" t="s">
        <v>138</v>
      </c>
    </row>
    <row r="15" spans="1:101" s="24" customFormat="1" x14ac:dyDescent="0.25">
      <c r="A15" s="13">
        <v>52</v>
      </c>
      <c r="B15" s="16" t="s">
        <v>138</v>
      </c>
      <c r="C15" s="16" t="s">
        <v>138</v>
      </c>
      <c r="D15" s="16">
        <v>7200</v>
      </c>
      <c r="E15" s="16">
        <v>15000</v>
      </c>
      <c r="F15" s="16" t="s">
        <v>138</v>
      </c>
      <c r="G15" s="16" t="s">
        <v>138</v>
      </c>
      <c r="H15" s="16" t="s">
        <v>138</v>
      </c>
      <c r="I15" s="16" t="s">
        <v>138</v>
      </c>
      <c r="J15" s="16" t="s">
        <v>138</v>
      </c>
      <c r="K15" s="16" t="s">
        <v>138</v>
      </c>
      <c r="L15" s="16" t="s">
        <v>138</v>
      </c>
      <c r="M15" s="16" t="s">
        <v>138</v>
      </c>
      <c r="N15" s="16" t="s">
        <v>138</v>
      </c>
      <c r="O15" s="16" t="s">
        <v>138</v>
      </c>
      <c r="P15" s="16" t="s">
        <v>138</v>
      </c>
      <c r="Q15" s="16" t="s">
        <v>138</v>
      </c>
      <c r="R15" s="16" t="s">
        <v>138</v>
      </c>
      <c r="S15" s="16" t="s">
        <v>138</v>
      </c>
      <c r="T15" s="16" t="s">
        <v>138</v>
      </c>
      <c r="U15" s="16">
        <v>7200</v>
      </c>
      <c r="V15" s="16" t="s">
        <v>138</v>
      </c>
      <c r="W15" s="16" t="s">
        <v>138</v>
      </c>
      <c r="X15" s="16" t="s">
        <v>138</v>
      </c>
      <c r="Y15" s="16">
        <v>25000</v>
      </c>
      <c r="Z15" s="16" t="s">
        <v>138</v>
      </c>
      <c r="AA15" s="16" t="s">
        <v>138</v>
      </c>
      <c r="AB15" s="16" t="s">
        <v>138</v>
      </c>
      <c r="AC15" s="16" t="s">
        <v>138</v>
      </c>
      <c r="AD15" s="16">
        <v>30000</v>
      </c>
      <c r="AE15" s="16" t="s">
        <v>138</v>
      </c>
      <c r="AF15" s="16">
        <v>15000</v>
      </c>
      <c r="AG15" s="16" t="s">
        <v>138</v>
      </c>
      <c r="AH15" s="16">
        <v>15000</v>
      </c>
      <c r="AI15" s="16" t="s">
        <v>138</v>
      </c>
      <c r="AJ15" s="16" t="s">
        <v>138</v>
      </c>
      <c r="AK15" s="16" t="s">
        <v>138</v>
      </c>
      <c r="AL15" s="16" t="s">
        <v>138</v>
      </c>
      <c r="AM15" s="16" t="s">
        <v>138</v>
      </c>
      <c r="AN15" s="16" t="s">
        <v>138</v>
      </c>
      <c r="AO15" s="16" t="s">
        <v>138</v>
      </c>
      <c r="AP15" s="16" t="s">
        <v>138</v>
      </c>
      <c r="AQ15" s="16" t="s">
        <v>138</v>
      </c>
      <c r="AR15" s="16" t="s">
        <v>138</v>
      </c>
      <c r="AS15" s="16">
        <v>4761.9047619047615</v>
      </c>
      <c r="AT15" s="16" t="s">
        <v>138</v>
      </c>
      <c r="AU15" s="16" t="s">
        <v>138</v>
      </c>
      <c r="AV15" s="16" t="s">
        <v>138</v>
      </c>
      <c r="AW15" s="16" t="s">
        <v>138</v>
      </c>
      <c r="AX15" s="16" t="s">
        <v>138</v>
      </c>
      <c r="AY15" s="16" t="s">
        <v>138</v>
      </c>
      <c r="AZ15" s="16" t="s">
        <v>138</v>
      </c>
      <c r="BA15" s="16" t="s">
        <v>138</v>
      </c>
      <c r="BB15" s="16">
        <v>7200</v>
      </c>
      <c r="BC15" s="16" t="s">
        <v>138</v>
      </c>
      <c r="BD15" s="16" t="s">
        <v>138</v>
      </c>
      <c r="BE15" s="16" t="s">
        <v>138</v>
      </c>
      <c r="BF15" s="16" t="s">
        <v>138</v>
      </c>
      <c r="BG15" s="16" t="s">
        <v>138</v>
      </c>
      <c r="BH15" s="16" t="s">
        <v>138</v>
      </c>
      <c r="BI15" s="16">
        <v>15000</v>
      </c>
      <c r="BJ15" s="16" t="s">
        <v>138</v>
      </c>
      <c r="BK15" s="16" t="s">
        <v>138</v>
      </c>
      <c r="BL15" s="16" t="s">
        <v>138</v>
      </c>
      <c r="BM15" s="16" t="s">
        <v>138</v>
      </c>
      <c r="BN15" s="16" t="s">
        <v>138</v>
      </c>
      <c r="BO15" s="16" t="s">
        <v>138</v>
      </c>
      <c r="BP15" s="16" t="s">
        <v>138</v>
      </c>
      <c r="BQ15" s="16" t="s">
        <v>138</v>
      </c>
      <c r="BR15" s="16" t="s">
        <v>138</v>
      </c>
      <c r="BS15" s="16">
        <v>30000</v>
      </c>
      <c r="BT15" s="16">
        <v>30000</v>
      </c>
      <c r="BU15" s="16" t="s">
        <v>138</v>
      </c>
      <c r="BV15" s="16" t="s">
        <v>138</v>
      </c>
      <c r="BW15" s="16" t="s">
        <v>138</v>
      </c>
      <c r="BX15" s="16" t="s">
        <v>138</v>
      </c>
      <c r="BY15" s="16">
        <v>7200</v>
      </c>
      <c r="BZ15" s="16" t="s">
        <v>138</v>
      </c>
      <c r="CA15" s="16" t="s">
        <v>138</v>
      </c>
      <c r="CB15" s="16" t="s">
        <v>138</v>
      </c>
      <c r="CC15" s="16" t="s">
        <v>138</v>
      </c>
      <c r="CD15" s="16" t="s">
        <v>138</v>
      </c>
      <c r="CE15" s="16" t="s">
        <v>138</v>
      </c>
      <c r="CF15" s="16">
        <v>25000</v>
      </c>
      <c r="CG15" s="16" t="s">
        <v>138</v>
      </c>
      <c r="CH15" s="16">
        <v>15000</v>
      </c>
      <c r="CI15" s="16">
        <v>30000</v>
      </c>
      <c r="CJ15" s="16" t="s">
        <v>138</v>
      </c>
      <c r="CK15" s="16" t="s">
        <v>138</v>
      </c>
      <c r="CL15" s="16" t="s">
        <v>138</v>
      </c>
      <c r="CM15" s="16" t="s">
        <v>138</v>
      </c>
      <c r="CN15" s="16" t="s">
        <v>138</v>
      </c>
      <c r="CO15" s="16" t="s">
        <v>138</v>
      </c>
      <c r="CP15" s="16" t="s">
        <v>138</v>
      </c>
      <c r="CQ15" s="16" t="s">
        <v>138</v>
      </c>
      <c r="CR15" s="16" t="s">
        <v>138</v>
      </c>
      <c r="CS15" s="16" t="s">
        <v>138</v>
      </c>
      <c r="CT15" s="16" t="s">
        <v>138</v>
      </c>
      <c r="CU15" s="16" t="s">
        <v>138</v>
      </c>
      <c r="CV15" s="16">
        <v>7200</v>
      </c>
      <c r="CW15" s="16" t="s">
        <v>138</v>
      </c>
    </row>
    <row r="16" spans="1:101" s="24" customFormat="1" x14ac:dyDescent="0.25">
      <c r="A16" s="13">
        <v>53</v>
      </c>
      <c r="B16" s="16" t="s">
        <v>138</v>
      </c>
      <c r="C16" s="16" t="s">
        <v>138</v>
      </c>
      <c r="D16" s="16">
        <v>7200</v>
      </c>
      <c r="E16" s="16">
        <v>15000</v>
      </c>
      <c r="F16" s="16" t="s">
        <v>138</v>
      </c>
      <c r="G16" s="16" t="s">
        <v>138</v>
      </c>
      <c r="H16" s="16" t="s">
        <v>138</v>
      </c>
      <c r="I16" s="16" t="s">
        <v>138</v>
      </c>
      <c r="J16" s="16" t="s">
        <v>138</v>
      </c>
      <c r="K16" s="16" t="s">
        <v>138</v>
      </c>
      <c r="L16" s="16" t="s">
        <v>138</v>
      </c>
      <c r="M16" s="16" t="s">
        <v>138</v>
      </c>
      <c r="N16" s="16" t="s">
        <v>138</v>
      </c>
      <c r="O16" s="16" t="s">
        <v>138</v>
      </c>
      <c r="P16" s="16" t="s">
        <v>138</v>
      </c>
      <c r="Q16" s="16" t="s">
        <v>138</v>
      </c>
      <c r="R16" s="16" t="s">
        <v>138</v>
      </c>
      <c r="S16" s="16" t="s">
        <v>138</v>
      </c>
      <c r="T16" s="16" t="s">
        <v>138</v>
      </c>
      <c r="U16" s="16">
        <v>7200</v>
      </c>
      <c r="V16" s="16" t="s">
        <v>138</v>
      </c>
      <c r="W16" s="16" t="s">
        <v>138</v>
      </c>
      <c r="X16" s="16" t="s">
        <v>138</v>
      </c>
      <c r="Y16" s="16">
        <v>25000</v>
      </c>
      <c r="Z16" s="16" t="s">
        <v>138</v>
      </c>
      <c r="AA16" s="16" t="s">
        <v>138</v>
      </c>
      <c r="AB16" s="16" t="s">
        <v>138</v>
      </c>
      <c r="AC16" s="16" t="s">
        <v>138</v>
      </c>
      <c r="AD16" s="16" t="s">
        <v>138</v>
      </c>
      <c r="AE16" s="16" t="s">
        <v>138</v>
      </c>
      <c r="AF16" s="16">
        <v>15000</v>
      </c>
      <c r="AG16" s="16" t="s">
        <v>138</v>
      </c>
      <c r="AH16" s="16">
        <v>15000</v>
      </c>
      <c r="AI16" s="16" t="s">
        <v>138</v>
      </c>
      <c r="AJ16" s="16" t="s">
        <v>138</v>
      </c>
      <c r="AK16" s="16" t="s">
        <v>138</v>
      </c>
      <c r="AL16" s="16" t="s">
        <v>138</v>
      </c>
      <c r="AM16" s="16" t="s">
        <v>138</v>
      </c>
      <c r="AN16" s="16" t="s">
        <v>138</v>
      </c>
      <c r="AO16" s="16" t="s">
        <v>138</v>
      </c>
      <c r="AP16" s="16" t="s">
        <v>138</v>
      </c>
      <c r="AQ16" s="16" t="s">
        <v>138</v>
      </c>
      <c r="AR16" s="16" t="s">
        <v>138</v>
      </c>
      <c r="AS16" s="16">
        <v>4761.9047619047615</v>
      </c>
      <c r="AT16" s="16" t="s">
        <v>138</v>
      </c>
      <c r="AU16" s="16" t="s">
        <v>138</v>
      </c>
      <c r="AV16" s="16" t="s">
        <v>138</v>
      </c>
      <c r="AW16" s="16" t="s">
        <v>138</v>
      </c>
      <c r="AX16" s="16" t="s">
        <v>138</v>
      </c>
      <c r="AY16" s="16" t="s">
        <v>138</v>
      </c>
      <c r="AZ16" s="16" t="s">
        <v>138</v>
      </c>
      <c r="BA16" s="16" t="s">
        <v>138</v>
      </c>
      <c r="BB16" s="16">
        <v>7200</v>
      </c>
      <c r="BC16" s="16" t="s">
        <v>138</v>
      </c>
      <c r="BD16" s="16" t="s">
        <v>138</v>
      </c>
      <c r="BE16" s="16" t="s">
        <v>138</v>
      </c>
      <c r="BF16" s="16" t="s">
        <v>138</v>
      </c>
      <c r="BG16" s="16" t="s">
        <v>138</v>
      </c>
      <c r="BH16" s="16" t="s">
        <v>138</v>
      </c>
      <c r="BI16" s="16">
        <v>15000</v>
      </c>
      <c r="BJ16" s="16" t="s">
        <v>138</v>
      </c>
      <c r="BK16" s="16" t="s">
        <v>138</v>
      </c>
      <c r="BL16" s="16" t="s">
        <v>138</v>
      </c>
      <c r="BM16" s="16" t="s">
        <v>138</v>
      </c>
      <c r="BN16" s="16" t="s">
        <v>138</v>
      </c>
      <c r="BO16" s="16" t="s">
        <v>138</v>
      </c>
      <c r="BP16" s="16" t="s">
        <v>138</v>
      </c>
      <c r="BQ16" s="16" t="s">
        <v>138</v>
      </c>
      <c r="BR16" s="16" t="s">
        <v>138</v>
      </c>
      <c r="BS16" s="16" t="s">
        <v>138</v>
      </c>
      <c r="BT16" s="16" t="s">
        <v>138</v>
      </c>
      <c r="BU16" s="16" t="s">
        <v>138</v>
      </c>
      <c r="BV16" s="16" t="s">
        <v>138</v>
      </c>
      <c r="BW16" s="16" t="s">
        <v>138</v>
      </c>
      <c r="BX16" s="16" t="s">
        <v>138</v>
      </c>
      <c r="BY16" s="16">
        <v>7200</v>
      </c>
      <c r="BZ16" s="16" t="s">
        <v>138</v>
      </c>
      <c r="CA16" s="16" t="s">
        <v>138</v>
      </c>
      <c r="CB16" s="16" t="s">
        <v>138</v>
      </c>
      <c r="CC16" s="16" t="s">
        <v>138</v>
      </c>
      <c r="CD16" s="16" t="s">
        <v>138</v>
      </c>
      <c r="CE16" s="16" t="s">
        <v>138</v>
      </c>
      <c r="CF16" s="16">
        <v>25000</v>
      </c>
      <c r="CG16" s="16" t="s">
        <v>138</v>
      </c>
      <c r="CH16" s="16">
        <v>15000</v>
      </c>
      <c r="CI16" s="16" t="s">
        <v>138</v>
      </c>
      <c r="CJ16" s="16" t="s">
        <v>138</v>
      </c>
      <c r="CK16" s="16" t="s">
        <v>138</v>
      </c>
      <c r="CL16" s="16" t="s">
        <v>138</v>
      </c>
      <c r="CM16" s="16" t="s">
        <v>138</v>
      </c>
      <c r="CN16" s="16" t="s">
        <v>138</v>
      </c>
      <c r="CO16" s="16" t="s">
        <v>138</v>
      </c>
      <c r="CP16" s="16" t="s">
        <v>138</v>
      </c>
      <c r="CQ16" s="16" t="s">
        <v>138</v>
      </c>
      <c r="CR16" s="16" t="s">
        <v>138</v>
      </c>
      <c r="CS16" s="16" t="s">
        <v>138</v>
      </c>
      <c r="CT16" s="16" t="s">
        <v>138</v>
      </c>
      <c r="CU16" s="16" t="s">
        <v>138</v>
      </c>
      <c r="CV16" s="16">
        <v>7200</v>
      </c>
      <c r="CW16" s="16" t="s">
        <v>138</v>
      </c>
    </row>
    <row r="17" spans="1:101" s="24" customFormat="1" x14ac:dyDescent="0.25">
      <c r="A17" s="13">
        <v>54</v>
      </c>
      <c r="B17" s="16" t="s">
        <v>138</v>
      </c>
      <c r="C17" s="16" t="s">
        <v>138</v>
      </c>
      <c r="D17" s="16">
        <v>7200</v>
      </c>
      <c r="E17" s="16">
        <v>15000</v>
      </c>
      <c r="F17" s="16" t="s">
        <v>138</v>
      </c>
      <c r="G17" s="16" t="s">
        <v>138</v>
      </c>
      <c r="H17" s="16" t="s">
        <v>138</v>
      </c>
      <c r="I17" s="16" t="s">
        <v>138</v>
      </c>
      <c r="J17" s="16" t="s">
        <v>138</v>
      </c>
      <c r="K17" s="16" t="s">
        <v>138</v>
      </c>
      <c r="L17" s="16" t="s">
        <v>138</v>
      </c>
      <c r="M17" s="16" t="s">
        <v>138</v>
      </c>
      <c r="N17" s="16">
        <v>15000</v>
      </c>
      <c r="O17" s="16" t="s">
        <v>138</v>
      </c>
      <c r="P17" s="16" t="s">
        <v>138</v>
      </c>
      <c r="Q17" s="16" t="s">
        <v>138</v>
      </c>
      <c r="R17" s="16" t="s">
        <v>138</v>
      </c>
      <c r="S17" s="16" t="s">
        <v>138</v>
      </c>
      <c r="T17" s="16" t="s">
        <v>138</v>
      </c>
      <c r="U17" s="16">
        <v>7200</v>
      </c>
      <c r="V17" s="16" t="s">
        <v>138</v>
      </c>
      <c r="W17" s="16" t="s">
        <v>138</v>
      </c>
      <c r="X17" s="16" t="s">
        <v>138</v>
      </c>
      <c r="Y17" s="16">
        <v>25000</v>
      </c>
      <c r="Z17" s="16" t="s">
        <v>138</v>
      </c>
      <c r="AA17" s="16" t="s">
        <v>138</v>
      </c>
      <c r="AB17" s="16" t="s">
        <v>138</v>
      </c>
      <c r="AC17" s="16" t="s">
        <v>138</v>
      </c>
      <c r="AD17" s="16">
        <v>30000</v>
      </c>
      <c r="AE17" s="16" t="s">
        <v>138</v>
      </c>
      <c r="AF17" s="16">
        <v>15000</v>
      </c>
      <c r="AG17" s="16" t="s">
        <v>138</v>
      </c>
      <c r="AH17" s="16">
        <v>15000</v>
      </c>
      <c r="AI17" s="16" t="s">
        <v>138</v>
      </c>
      <c r="AJ17" s="16" t="s">
        <v>138</v>
      </c>
      <c r="AK17" s="16" t="s">
        <v>138</v>
      </c>
      <c r="AL17" s="16" t="s">
        <v>138</v>
      </c>
      <c r="AM17" s="16" t="s">
        <v>138</v>
      </c>
      <c r="AN17" s="16" t="s">
        <v>138</v>
      </c>
      <c r="AO17" s="16" t="s">
        <v>138</v>
      </c>
      <c r="AP17" s="16" t="s">
        <v>138</v>
      </c>
      <c r="AQ17" s="16" t="s">
        <v>138</v>
      </c>
      <c r="AR17" s="16" t="s">
        <v>138</v>
      </c>
      <c r="AS17" s="16">
        <v>4761.9047619047615</v>
      </c>
      <c r="AT17" s="16" t="s">
        <v>138</v>
      </c>
      <c r="AU17" s="16" t="s">
        <v>138</v>
      </c>
      <c r="AV17" s="16" t="s">
        <v>138</v>
      </c>
      <c r="AW17" s="16" t="s">
        <v>138</v>
      </c>
      <c r="AX17" s="16" t="s">
        <v>138</v>
      </c>
      <c r="AY17" s="16" t="s">
        <v>138</v>
      </c>
      <c r="AZ17" s="16" t="s">
        <v>138</v>
      </c>
      <c r="BA17" s="16" t="s">
        <v>138</v>
      </c>
      <c r="BB17" s="16">
        <v>7200</v>
      </c>
      <c r="BC17" s="16" t="s">
        <v>138</v>
      </c>
      <c r="BD17" s="16" t="s">
        <v>138</v>
      </c>
      <c r="BE17" s="16" t="s">
        <v>138</v>
      </c>
      <c r="BF17" s="16" t="s">
        <v>138</v>
      </c>
      <c r="BG17" s="16" t="s">
        <v>138</v>
      </c>
      <c r="BH17" s="16" t="s">
        <v>138</v>
      </c>
      <c r="BI17" s="16">
        <v>15000</v>
      </c>
      <c r="BJ17" s="16" t="s">
        <v>138</v>
      </c>
      <c r="BK17" s="16" t="s">
        <v>138</v>
      </c>
      <c r="BL17" s="16" t="s">
        <v>138</v>
      </c>
      <c r="BM17" s="16" t="s">
        <v>138</v>
      </c>
      <c r="BN17" s="16" t="s">
        <v>138</v>
      </c>
      <c r="BO17" s="16" t="s">
        <v>138</v>
      </c>
      <c r="BP17" s="16" t="s">
        <v>138</v>
      </c>
      <c r="BQ17" s="16" t="s">
        <v>138</v>
      </c>
      <c r="BR17" s="16" t="s">
        <v>138</v>
      </c>
      <c r="BS17" s="16">
        <v>30000</v>
      </c>
      <c r="BT17" s="16">
        <v>30000</v>
      </c>
      <c r="BU17" s="16" t="s">
        <v>138</v>
      </c>
      <c r="BV17" s="16" t="s">
        <v>138</v>
      </c>
      <c r="BW17" s="16" t="s">
        <v>138</v>
      </c>
      <c r="BX17" s="16" t="s">
        <v>138</v>
      </c>
      <c r="BY17" s="16">
        <v>7200</v>
      </c>
      <c r="BZ17" s="16" t="s">
        <v>138</v>
      </c>
      <c r="CA17" s="16" t="s">
        <v>138</v>
      </c>
      <c r="CB17" s="16" t="s">
        <v>138</v>
      </c>
      <c r="CC17" s="16" t="s">
        <v>138</v>
      </c>
      <c r="CD17" s="16" t="s">
        <v>138</v>
      </c>
      <c r="CE17" s="16" t="s">
        <v>138</v>
      </c>
      <c r="CF17" s="16">
        <v>25000</v>
      </c>
      <c r="CG17" s="16" t="s">
        <v>138</v>
      </c>
      <c r="CH17" s="16">
        <v>15000</v>
      </c>
      <c r="CI17" s="16">
        <v>30000</v>
      </c>
      <c r="CJ17" s="16" t="s">
        <v>138</v>
      </c>
      <c r="CK17" s="16" t="s">
        <v>138</v>
      </c>
      <c r="CL17" s="16" t="s">
        <v>138</v>
      </c>
      <c r="CM17" s="16" t="s">
        <v>138</v>
      </c>
      <c r="CN17" s="16" t="s">
        <v>138</v>
      </c>
      <c r="CO17" s="16" t="s">
        <v>138</v>
      </c>
      <c r="CP17" s="16" t="s">
        <v>138</v>
      </c>
      <c r="CQ17" s="16" t="s">
        <v>138</v>
      </c>
      <c r="CR17" s="16" t="s">
        <v>138</v>
      </c>
      <c r="CS17" s="16" t="s">
        <v>138</v>
      </c>
      <c r="CT17" s="16" t="s">
        <v>138</v>
      </c>
      <c r="CU17" s="16" t="s">
        <v>138</v>
      </c>
      <c r="CV17" s="16">
        <v>7200</v>
      </c>
      <c r="CW17" s="16" t="s">
        <v>138</v>
      </c>
    </row>
    <row r="18" spans="1:101" s="24" customFormat="1" x14ac:dyDescent="0.25">
      <c r="A18" s="13">
        <v>55</v>
      </c>
      <c r="B18" s="16" t="s">
        <v>138</v>
      </c>
      <c r="C18" s="16" t="s">
        <v>138</v>
      </c>
      <c r="D18" s="16">
        <v>7200</v>
      </c>
      <c r="E18" s="16">
        <v>15000</v>
      </c>
      <c r="F18" s="16" t="s">
        <v>138</v>
      </c>
      <c r="G18" s="16" t="s">
        <v>138</v>
      </c>
      <c r="H18" s="16" t="s">
        <v>138</v>
      </c>
      <c r="I18" s="16" t="s">
        <v>138</v>
      </c>
      <c r="J18" s="16" t="s">
        <v>138</v>
      </c>
      <c r="K18" s="16" t="s">
        <v>138</v>
      </c>
      <c r="L18" s="16" t="s">
        <v>138</v>
      </c>
      <c r="M18" s="16" t="s">
        <v>138</v>
      </c>
      <c r="N18" s="16">
        <v>15000</v>
      </c>
      <c r="O18" s="16" t="s">
        <v>138</v>
      </c>
      <c r="P18" s="16" t="s">
        <v>138</v>
      </c>
      <c r="Q18" s="16" t="s">
        <v>138</v>
      </c>
      <c r="R18" s="16" t="s">
        <v>138</v>
      </c>
      <c r="S18" s="16" t="s">
        <v>138</v>
      </c>
      <c r="T18" s="16" t="s">
        <v>138</v>
      </c>
      <c r="U18" s="16">
        <v>7200</v>
      </c>
      <c r="V18" s="16" t="s">
        <v>138</v>
      </c>
      <c r="W18" s="16" t="s">
        <v>138</v>
      </c>
      <c r="X18" s="16" t="s">
        <v>138</v>
      </c>
      <c r="Y18" s="16">
        <v>25000</v>
      </c>
      <c r="Z18" s="16" t="s">
        <v>138</v>
      </c>
      <c r="AA18" s="16" t="s">
        <v>138</v>
      </c>
      <c r="AB18" s="16" t="s">
        <v>138</v>
      </c>
      <c r="AC18" s="16" t="s">
        <v>138</v>
      </c>
      <c r="AD18" s="16" t="s">
        <v>138</v>
      </c>
      <c r="AE18" s="16" t="s">
        <v>138</v>
      </c>
      <c r="AF18" s="16">
        <v>15000</v>
      </c>
      <c r="AG18" s="16" t="s">
        <v>138</v>
      </c>
      <c r="AH18" s="16">
        <v>15000</v>
      </c>
      <c r="AI18" s="16" t="s">
        <v>138</v>
      </c>
      <c r="AJ18" s="16" t="s">
        <v>138</v>
      </c>
      <c r="AK18" s="16" t="s">
        <v>138</v>
      </c>
      <c r="AL18" s="16" t="s">
        <v>138</v>
      </c>
      <c r="AM18" s="16" t="s">
        <v>138</v>
      </c>
      <c r="AN18" s="16" t="s">
        <v>138</v>
      </c>
      <c r="AO18" s="16" t="s">
        <v>138</v>
      </c>
      <c r="AP18" s="16" t="s">
        <v>138</v>
      </c>
      <c r="AQ18" s="16" t="s">
        <v>138</v>
      </c>
      <c r="AR18" s="16" t="s">
        <v>138</v>
      </c>
      <c r="AS18" s="16">
        <v>4761.9047619047615</v>
      </c>
      <c r="AT18" s="16" t="s">
        <v>138</v>
      </c>
      <c r="AU18" s="16" t="s">
        <v>138</v>
      </c>
      <c r="AV18" s="16" t="s">
        <v>138</v>
      </c>
      <c r="AW18" s="16" t="s">
        <v>138</v>
      </c>
      <c r="AX18" s="16" t="s">
        <v>138</v>
      </c>
      <c r="AY18" s="16" t="s">
        <v>138</v>
      </c>
      <c r="AZ18" s="16">
        <v>19000</v>
      </c>
      <c r="BA18" s="16" t="s">
        <v>138</v>
      </c>
      <c r="BB18" s="16">
        <v>7200</v>
      </c>
      <c r="BC18" s="16">
        <v>15000</v>
      </c>
      <c r="BD18" s="16" t="s">
        <v>138</v>
      </c>
      <c r="BE18" s="16" t="s">
        <v>138</v>
      </c>
      <c r="BF18" s="16" t="s">
        <v>138</v>
      </c>
      <c r="BG18" s="16" t="s">
        <v>138</v>
      </c>
      <c r="BH18" s="16" t="s">
        <v>138</v>
      </c>
      <c r="BI18" s="16">
        <v>15000</v>
      </c>
      <c r="BJ18" s="16" t="s">
        <v>138</v>
      </c>
      <c r="BK18" s="16" t="s">
        <v>138</v>
      </c>
      <c r="BL18" s="16" t="s">
        <v>138</v>
      </c>
      <c r="BM18" s="16" t="s">
        <v>138</v>
      </c>
      <c r="BN18" s="16" t="s">
        <v>138</v>
      </c>
      <c r="BO18" s="16" t="s">
        <v>138</v>
      </c>
      <c r="BP18" s="16" t="s">
        <v>138</v>
      </c>
      <c r="BQ18" s="16" t="s">
        <v>138</v>
      </c>
      <c r="BR18" s="16" t="s">
        <v>138</v>
      </c>
      <c r="BS18" s="16" t="s">
        <v>138</v>
      </c>
      <c r="BT18" s="16" t="s">
        <v>138</v>
      </c>
      <c r="BU18" s="16" t="s">
        <v>138</v>
      </c>
      <c r="BV18" s="16" t="s">
        <v>138</v>
      </c>
      <c r="BW18" s="16" t="s">
        <v>138</v>
      </c>
      <c r="BX18" s="16" t="s">
        <v>138</v>
      </c>
      <c r="BY18" s="16">
        <v>7200</v>
      </c>
      <c r="BZ18" s="16" t="s">
        <v>138</v>
      </c>
      <c r="CA18" s="16" t="s">
        <v>138</v>
      </c>
      <c r="CB18" s="16" t="s">
        <v>138</v>
      </c>
      <c r="CC18" s="16" t="s">
        <v>138</v>
      </c>
      <c r="CD18" s="16" t="s">
        <v>138</v>
      </c>
      <c r="CE18" s="16" t="s">
        <v>138</v>
      </c>
      <c r="CF18" s="16" t="s">
        <v>138</v>
      </c>
      <c r="CG18" s="16" t="s">
        <v>138</v>
      </c>
      <c r="CH18" s="16">
        <v>15000</v>
      </c>
      <c r="CI18" s="16" t="s">
        <v>138</v>
      </c>
      <c r="CJ18" s="16" t="s">
        <v>138</v>
      </c>
      <c r="CK18" s="16" t="s">
        <v>138</v>
      </c>
      <c r="CL18" s="16" t="s">
        <v>138</v>
      </c>
      <c r="CM18" s="16" t="s">
        <v>138</v>
      </c>
      <c r="CN18" s="16" t="s">
        <v>138</v>
      </c>
      <c r="CO18" s="16" t="s">
        <v>138</v>
      </c>
      <c r="CP18" s="16" t="s">
        <v>138</v>
      </c>
      <c r="CQ18" s="16" t="s">
        <v>138</v>
      </c>
      <c r="CR18" s="16" t="s">
        <v>138</v>
      </c>
      <c r="CS18" s="16" t="s">
        <v>138</v>
      </c>
      <c r="CT18" s="16" t="s">
        <v>138</v>
      </c>
      <c r="CU18" s="16" t="s">
        <v>138</v>
      </c>
      <c r="CV18" s="16">
        <v>7200</v>
      </c>
      <c r="CW18" s="16" t="s">
        <v>138</v>
      </c>
    </row>
    <row r="19" spans="1:101" s="24" customFormat="1" x14ac:dyDescent="0.25">
      <c r="A19" s="13">
        <v>56</v>
      </c>
      <c r="B19" s="16" t="s">
        <v>138</v>
      </c>
      <c r="C19" s="16" t="s">
        <v>138</v>
      </c>
      <c r="D19" s="16">
        <v>7200</v>
      </c>
      <c r="E19" s="16">
        <v>15000</v>
      </c>
      <c r="F19" s="16" t="s">
        <v>138</v>
      </c>
      <c r="G19" s="16" t="s">
        <v>138</v>
      </c>
      <c r="H19" s="16" t="s">
        <v>138</v>
      </c>
      <c r="I19" s="16" t="s">
        <v>138</v>
      </c>
      <c r="J19" s="16" t="s">
        <v>138</v>
      </c>
      <c r="K19" s="16" t="s">
        <v>138</v>
      </c>
      <c r="L19" s="16" t="s">
        <v>138</v>
      </c>
      <c r="M19" s="16" t="s">
        <v>138</v>
      </c>
      <c r="N19" s="16">
        <v>15000</v>
      </c>
      <c r="O19" s="16" t="s">
        <v>138</v>
      </c>
      <c r="P19" s="16" t="s">
        <v>138</v>
      </c>
      <c r="Q19" s="16" t="s">
        <v>138</v>
      </c>
      <c r="R19" s="16" t="s">
        <v>138</v>
      </c>
      <c r="S19" s="16" t="s">
        <v>138</v>
      </c>
      <c r="T19" s="16" t="s">
        <v>138</v>
      </c>
      <c r="U19" s="16">
        <v>7200</v>
      </c>
      <c r="V19" s="16" t="s">
        <v>138</v>
      </c>
      <c r="W19" s="16" t="s">
        <v>138</v>
      </c>
      <c r="X19" s="16" t="s">
        <v>138</v>
      </c>
      <c r="Y19" s="16">
        <v>25000</v>
      </c>
      <c r="Z19" s="16" t="s">
        <v>138</v>
      </c>
      <c r="AA19" s="16" t="s">
        <v>138</v>
      </c>
      <c r="AB19" s="16" t="s">
        <v>138</v>
      </c>
      <c r="AC19" s="16" t="s">
        <v>138</v>
      </c>
      <c r="AD19" s="16">
        <v>30000</v>
      </c>
      <c r="AE19" s="16" t="s">
        <v>138</v>
      </c>
      <c r="AF19" s="16">
        <v>15000</v>
      </c>
      <c r="AG19" s="16" t="s">
        <v>138</v>
      </c>
      <c r="AH19" s="16">
        <v>15000</v>
      </c>
      <c r="AI19" s="16" t="s">
        <v>138</v>
      </c>
      <c r="AJ19" s="16" t="s">
        <v>138</v>
      </c>
      <c r="AK19" s="16" t="s">
        <v>138</v>
      </c>
      <c r="AL19" s="16" t="s">
        <v>138</v>
      </c>
      <c r="AM19" s="16" t="s">
        <v>138</v>
      </c>
      <c r="AN19" s="16" t="s">
        <v>138</v>
      </c>
      <c r="AO19" s="16" t="s">
        <v>138</v>
      </c>
      <c r="AP19" s="16" t="s">
        <v>138</v>
      </c>
      <c r="AQ19" s="16" t="s">
        <v>138</v>
      </c>
      <c r="AR19" s="16" t="s">
        <v>138</v>
      </c>
      <c r="AS19" s="16">
        <v>4761.9047619047615</v>
      </c>
      <c r="AT19" s="16" t="s">
        <v>138</v>
      </c>
      <c r="AU19" s="16" t="s">
        <v>138</v>
      </c>
      <c r="AV19" s="16" t="s">
        <v>138</v>
      </c>
      <c r="AW19" s="16" t="s">
        <v>138</v>
      </c>
      <c r="AX19" s="16" t="s">
        <v>138</v>
      </c>
      <c r="AY19" s="16" t="s">
        <v>138</v>
      </c>
      <c r="AZ19" s="16">
        <v>19000</v>
      </c>
      <c r="BA19" s="16" t="s">
        <v>138</v>
      </c>
      <c r="BB19" s="16">
        <v>7200</v>
      </c>
      <c r="BC19" s="16">
        <v>15000</v>
      </c>
      <c r="BD19" s="16" t="s">
        <v>138</v>
      </c>
      <c r="BE19" s="16" t="s">
        <v>138</v>
      </c>
      <c r="BF19" s="16" t="s">
        <v>138</v>
      </c>
      <c r="BG19" s="16" t="s">
        <v>138</v>
      </c>
      <c r="BH19" s="16" t="s">
        <v>138</v>
      </c>
      <c r="BI19" s="16">
        <v>15000</v>
      </c>
      <c r="BJ19" s="16" t="s">
        <v>138</v>
      </c>
      <c r="BK19" s="16" t="s">
        <v>138</v>
      </c>
      <c r="BL19" s="16" t="s">
        <v>138</v>
      </c>
      <c r="BM19" s="16" t="s">
        <v>138</v>
      </c>
      <c r="BN19" s="16" t="s">
        <v>138</v>
      </c>
      <c r="BO19" s="16" t="s">
        <v>138</v>
      </c>
      <c r="BP19" s="16" t="s">
        <v>138</v>
      </c>
      <c r="BQ19" s="16" t="s">
        <v>138</v>
      </c>
      <c r="BR19" s="16" t="s">
        <v>138</v>
      </c>
      <c r="BS19" s="16">
        <v>30000</v>
      </c>
      <c r="BT19" s="16" t="s">
        <v>138</v>
      </c>
      <c r="BU19" s="16" t="s">
        <v>138</v>
      </c>
      <c r="BV19" s="16" t="s">
        <v>138</v>
      </c>
      <c r="BW19" s="16" t="s">
        <v>138</v>
      </c>
      <c r="BX19" s="16" t="s">
        <v>138</v>
      </c>
      <c r="BY19" s="16">
        <v>7200</v>
      </c>
      <c r="BZ19" s="16" t="s">
        <v>138</v>
      </c>
      <c r="CA19" s="16" t="s">
        <v>138</v>
      </c>
      <c r="CB19" s="16" t="s">
        <v>138</v>
      </c>
      <c r="CC19" s="16" t="s">
        <v>138</v>
      </c>
      <c r="CD19" s="16" t="s">
        <v>138</v>
      </c>
      <c r="CE19" s="16" t="s">
        <v>138</v>
      </c>
      <c r="CF19" s="16" t="s">
        <v>138</v>
      </c>
      <c r="CG19" s="16" t="s">
        <v>138</v>
      </c>
      <c r="CH19" s="16">
        <v>15000</v>
      </c>
      <c r="CI19" s="16">
        <v>30000</v>
      </c>
      <c r="CJ19" s="16" t="s">
        <v>138</v>
      </c>
      <c r="CK19" s="16" t="s">
        <v>138</v>
      </c>
      <c r="CL19" s="16" t="s">
        <v>138</v>
      </c>
      <c r="CM19" s="16" t="s">
        <v>138</v>
      </c>
      <c r="CN19" s="16" t="s">
        <v>138</v>
      </c>
      <c r="CO19" s="16" t="s">
        <v>138</v>
      </c>
      <c r="CP19" s="16" t="s">
        <v>138</v>
      </c>
      <c r="CQ19" s="16" t="s">
        <v>138</v>
      </c>
      <c r="CR19" s="16" t="s">
        <v>138</v>
      </c>
      <c r="CS19" s="16" t="s">
        <v>138</v>
      </c>
      <c r="CT19" s="16" t="s">
        <v>138</v>
      </c>
      <c r="CU19" s="16" t="s">
        <v>138</v>
      </c>
      <c r="CV19" s="16">
        <v>7200</v>
      </c>
      <c r="CW19" s="16" t="s">
        <v>138</v>
      </c>
    </row>
    <row r="20" spans="1:101" s="24" customFormat="1" x14ac:dyDescent="0.25">
      <c r="A20" s="13">
        <v>57</v>
      </c>
      <c r="B20" s="16" t="s">
        <v>138</v>
      </c>
      <c r="C20" s="16" t="s">
        <v>138</v>
      </c>
      <c r="D20" s="16">
        <v>7200</v>
      </c>
      <c r="E20" s="16">
        <v>15000</v>
      </c>
      <c r="F20" s="16" t="s">
        <v>138</v>
      </c>
      <c r="G20" s="16" t="s">
        <v>138</v>
      </c>
      <c r="H20" s="16" t="s">
        <v>138</v>
      </c>
      <c r="I20" s="16" t="s">
        <v>138</v>
      </c>
      <c r="J20" s="16" t="s">
        <v>138</v>
      </c>
      <c r="K20" s="16" t="s">
        <v>138</v>
      </c>
      <c r="L20" s="16" t="s">
        <v>138</v>
      </c>
      <c r="M20" s="16" t="s">
        <v>138</v>
      </c>
      <c r="N20" s="16">
        <v>15000</v>
      </c>
      <c r="O20" s="16" t="s">
        <v>138</v>
      </c>
      <c r="P20" s="16" t="s">
        <v>138</v>
      </c>
      <c r="Q20" s="16" t="s">
        <v>138</v>
      </c>
      <c r="R20" s="16" t="s">
        <v>138</v>
      </c>
      <c r="S20" s="16" t="s">
        <v>138</v>
      </c>
      <c r="T20" s="16" t="s">
        <v>138</v>
      </c>
      <c r="U20" s="16">
        <v>7200</v>
      </c>
      <c r="V20" s="16" t="s">
        <v>138</v>
      </c>
      <c r="W20" s="16" t="s">
        <v>138</v>
      </c>
      <c r="X20" s="16">
        <v>15000</v>
      </c>
      <c r="Y20" s="16">
        <v>25000</v>
      </c>
      <c r="Z20" s="16" t="s">
        <v>138</v>
      </c>
      <c r="AA20" s="16" t="s">
        <v>138</v>
      </c>
      <c r="AB20" s="16" t="s">
        <v>138</v>
      </c>
      <c r="AC20" s="16" t="s">
        <v>138</v>
      </c>
      <c r="AD20" s="16" t="s">
        <v>138</v>
      </c>
      <c r="AE20" s="16" t="s">
        <v>138</v>
      </c>
      <c r="AF20" s="16">
        <v>15000</v>
      </c>
      <c r="AG20" s="16" t="s">
        <v>138</v>
      </c>
      <c r="AH20" s="16">
        <v>15000</v>
      </c>
      <c r="AI20" s="16">
        <v>19000</v>
      </c>
      <c r="AJ20" s="16" t="s">
        <v>138</v>
      </c>
      <c r="AK20" s="16" t="s">
        <v>138</v>
      </c>
      <c r="AL20" s="16" t="s">
        <v>138</v>
      </c>
      <c r="AM20" s="16" t="s">
        <v>138</v>
      </c>
      <c r="AN20" s="16" t="s">
        <v>138</v>
      </c>
      <c r="AO20" s="16" t="s">
        <v>138</v>
      </c>
      <c r="AP20" s="16" t="s">
        <v>138</v>
      </c>
      <c r="AQ20" s="16" t="s">
        <v>138</v>
      </c>
      <c r="AR20" s="16" t="s">
        <v>138</v>
      </c>
      <c r="AS20" s="16">
        <v>4761.9047619047615</v>
      </c>
      <c r="AT20" s="16" t="s">
        <v>138</v>
      </c>
      <c r="AU20" s="16" t="s">
        <v>138</v>
      </c>
      <c r="AV20" s="16">
        <v>16666.666666666668</v>
      </c>
      <c r="AW20" s="16" t="s">
        <v>138</v>
      </c>
      <c r="AX20" s="16" t="s">
        <v>138</v>
      </c>
      <c r="AY20" s="16" t="s">
        <v>138</v>
      </c>
      <c r="AZ20" s="16">
        <v>19000</v>
      </c>
      <c r="BA20" s="16" t="s">
        <v>138</v>
      </c>
      <c r="BB20" s="16">
        <v>7200</v>
      </c>
      <c r="BC20" s="16">
        <v>15000</v>
      </c>
      <c r="BD20" s="16" t="s">
        <v>138</v>
      </c>
      <c r="BE20" s="16" t="s">
        <v>138</v>
      </c>
      <c r="BF20" s="16" t="s">
        <v>138</v>
      </c>
      <c r="BG20" s="16" t="s">
        <v>138</v>
      </c>
      <c r="BH20" s="16" t="s">
        <v>138</v>
      </c>
      <c r="BI20" s="16">
        <v>15000</v>
      </c>
      <c r="BJ20" s="16" t="s">
        <v>138</v>
      </c>
      <c r="BK20" s="16">
        <v>30000</v>
      </c>
      <c r="BL20" s="16" t="s">
        <v>138</v>
      </c>
      <c r="BM20" s="16" t="s">
        <v>138</v>
      </c>
      <c r="BN20" s="16" t="s">
        <v>138</v>
      </c>
      <c r="BO20" s="16">
        <v>30000</v>
      </c>
      <c r="BP20" s="16" t="s">
        <v>138</v>
      </c>
      <c r="BQ20" s="16" t="s">
        <v>138</v>
      </c>
      <c r="BR20" s="16" t="s">
        <v>138</v>
      </c>
      <c r="BS20" s="16" t="s">
        <v>138</v>
      </c>
      <c r="BT20" s="16" t="s">
        <v>138</v>
      </c>
      <c r="BU20" s="16" t="s">
        <v>138</v>
      </c>
      <c r="BV20" s="16" t="s">
        <v>138</v>
      </c>
      <c r="BW20" s="16" t="s">
        <v>138</v>
      </c>
      <c r="BX20" s="16" t="s">
        <v>138</v>
      </c>
      <c r="BY20" s="16">
        <v>7200</v>
      </c>
      <c r="BZ20" s="16" t="s">
        <v>138</v>
      </c>
      <c r="CA20" s="16" t="s">
        <v>138</v>
      </c>
      <c r="CB20" s="16" t="s">
        <v>138</v>
      </c>
      <c r="CC20" s="16" t="s">
        <v>138</v>
      </c>
      <c r="CD20" s="16" t="s">
        <v>138</v>
      </c>
      <c r="CE20" s="16" t="s">
        <v>138</v>
      </c>
      <c r="CF20" s="16" t="s">
        <v>138</v>
      </c>
      <c r="CG20" s="16" t="s">
        <v>138</v>
      </c>
      <c r="CH20" s="16">
        <v>15000</v>
      </c>
      <c r="CI20" s="16" t="s">
        <v>138</v>
      </c>
      <c r="CJ20" s="16" t="s">
        <v>138</v>
      </c>
      <c r="CK20" s="16" t="s">
        <v>138</v>
      </c>
      <c r="CL20" s="16" t="s">
        <v>138</v>
      </c>
      <c r="CM20" s="16" t="s">
        <v>138</v>
      </c>
      <c r="CN20" s="16" t="s">
        <v>138</v>
      </c>
      <c r="CO20" s="16" t="s">
        <v>138</v>
      </c>
      <c r="CP20" s="16" t="s">
        <v>138</v>
      </c>
      <c r="CQ20" s="16" t="s">
        <v>138</v>
      </c>
      <c r="CR20" s="16" t="s">
        <v>138</v>
      </c>
      <c r="CS20" s="16" t="s">
        <v>138</v>
      </c>
      <c r="CT20" s="16" t="s">
        <v>138</v>
      </c>
      <c r="CU20" s="16" t="s">
        <v>138</v>
      </c>
      <c r="CV20" s="16">
        <v>7200</v>
      </c>
      <c r="CW20" s="16" t="s">
        <v>138</v>
      </c>
    </row>
    <row r="21" spans="1:101" s="24" customFormat="1" x14ac:dyDescent="0.25">
      <c r="A21" s="13">
        <v>58</v>
      </c>
      <c r="B21" s="16" t="s">
        <v>138</v>
      </c>
      <c r="C21" s="16" t="s">
        <v>138</v>
      </c>
      <c r="D21" s="16">
        <v>7200</v>
      </c>
      <c r="E21" s="16">
        <v>15000</v>
      </c>
      <c r="F21" s="16" t="s">
        <v>138</v>
      </c>
      <c r="G21" s="16" t="s">
        <v>138</v>
      </c>
      <c r="H21" s="16" t="s">
        <v>138</v>
      </c>
      <c r="I21" s="16" t="s">
        <v>138</v>
      </c>
      <c r="J21" s="16" t="s">
        <v>138</v>
      </c>
      <c r="K21" s="16" t="s">
        <v>138</v>
      </c>
      <c r="L21" s="16" t="s">
        <v>138</v>
      </c>
      <c r="M21" s="16" t="s">
        <v>138</v>
      </c>
      <c r="N21" s="16">
        <v>15000</v>
      </c>
      <c r="O21" s="16">
        <v>15000</v>
      </c>
      <c r="P21" s="16" t="s">
        <v>138</v>
      </c>
      <c r="Q21" s="16">
        <v>30000</v>
      </c>
      <c r="R21" s="16" t="s">
        <v>138</v>
      </c>
      <c r="S21" s="16" t="s">
        <v>138</v>
      </c>
      <c r="T21" s="16" t="s">
        <v>138</v>
      </c>
      <c r="U21" s="16">
        <v>7200</v>
      </c>
      <c r="V21" s="16">
        <v>4761.9047619047615</v>
      </c>
      <c r="W21" s="16" t="s">
        <v>138</v>
      </c>
      <c r="X21" s="16">
        <v>15000</v>
      </c>
      <c r="Y21" s="16">
        <v>25000</v>
      </c>
      <c r="Z21" s="16" t="s">
        <v>138</v>
      </c>
      <c r="AA21" s="16" t="s">
        <v>138</v>
      </c>
      <c r="AB21" s="16" t="s">
        <v>138</v>
      </c>
      <c r="AC21" s="16" t="s">
        <v>138</v>
      </c>
      <c r="AD21" s="16">
        <v>30000</v>
      </c>
      <c r="AE21" s="16" t="s">
        <v>138</v>
      </c>
      <c r="AF21" s="16">
        <v>15000</v>
      </c>
      <c r="AG21" s="16" t="s">
        <v>138</v>
      </c>
      <c r="AH21" s="16">
        <v>15000</v>
      </c>
      <c r="AI21" s="16">
        <v>19000</v>
      </c>
      <c r="AJ21" s="16" t="s">
        <v>138</v>
      </c>
      <c r="AK21" s="16" t="s">
        <v>138</v>
      </c>
      <c r="AL21" s="16" t="s">
        <v>138</v>
      </c>
      <c r="AM21" s="16" t="s">
        <v>138</v>
      </c>
      <c r="AN21" s="16" t="s">
        <v>138</v>
      </c>
      <c r="AO21" s="16" t="s">
        <v>138</v>
      </c>
      <c r="AP21" s="16" t="s">
        <v>138</v>
      </c>
      <c r="AQ21" s="16" t="s">
        <v>138</v>
      </c>
      <c r="AR21" s="16" t="s">
        <v>138</v>
      </c>
      <c r="AS21" s="16">
        <v>4761.9047619047615</v>
      </c>
      <c r="AT21" s="16" t="s">
        <v>138</v>
      </c>
      <c r="AU21" s="16" t="s">
        <v>138</v>
      </c>
      <c r="AV21" s="16">
        <v>16666.666666666668</v>
      </c>
      <c r="AW21" s="16" t="s">
        <v>138</v>
      </c>
      <c r="AX21" s="16" t="s">
        <v>138</v>
      </c>
      <c r="AY21" s="16" t="s">
        <v>138</v>
      </c>
      <c r="AZ21" s="16">
        <v>19000</v>
      </c>
      <c r="BA21" s="16" t="s">
        <v>138</v>
      </c>
      <c r="BB21" s="16">
        <v>7200</v>
      </c>
      <c r="BC21" s="16">
        <v>15000</v>
      </c>
      <c r="BD21" s="16" t="s">
        <v>138</v>
      </c>
      <c r="BE21" s="16" t="s">
        <v>138</v>
      </c>
      <c r="BF21" s="16" t="s">
        <v>138</v>
      </c>
      <c r="BG21" s="16" t="s">
        <v>138</v>
      </c>
      <c r="BH21" s="16" t="s">
        <v>138</v>
      </c>
      <c r="BI21" s="16">
        <v>15000</v>
      </c>
      <c r="BJ21" s="16" t="s">
        <v>138</v>
      </c>
      <c r="BK21" s="16" t="s">
        <v>138</v>
      </c>
      <c r="BL21" s="16" t="s">
        <v>138</v>
      </c>
      <c r="BM21" s="16" t="s">
        <v>138</v>
      </c>
      <c r="BN21" s="16" t="s">
        <v>138</v>
      </c>
      <c r="BO21" s="16" t="s">
        <v>138</v>
      </c>
      <c r="BP21" s="16" t="s">
        <v>138</v>
      </c>
      <c r="BQ21" s="16" t="s">
        <v>138</v>
      </c>
      <c r="BR21" s="16">
        <v>7200</v>
      </c>
      <c r="BS21" s="16">
        <v>30000</v>
      </c>
      <c r="BT21" s="16" t="s">
        <v>138</v>
      </c>
      <c r="BU21" s="16" t="s">
        <v>138</v>
      </c>
      <c r="BV21" s="16" t="s">
        <v>138</v>
      </c>
      <c r="BW21" s="16" t="s">
        <v>138</v>
      </c>
      <c r="BX21" s="16" t="s">
        <v>138</v>
      </c>
      <c r="BY21" s="16">
        <v>7200</v>
      </c>
      <c r="BZ21" s="16" t="s">
        <v>138</v>
      </c>
      <c r="CA21" s="16" t="s">
        <v>138</v>
      </c>
      <c r="CB21" s="16" t="s">
        <v>138</v>
      </c>
      <c r="CC21" s="16" t="s">
        <v>138</v>
      </c>
      <c r="CD21" s="16" t="s">
        <v>138</v>
      </c>
      <c r="CE21" s="16" t="s">
        <v>138</v>
      </c>
      <c r="CF21" s="16" t="s">
        <v>138</v>
      </c>
      <c r="CG21" s="16" t="s">
        <v>138</v>
      </c>
      <c r="CH21" s="16">
        <v>15000</v>
      </c>
      <c r="CI21" s="16" t="s">
        <v>138</v>
      </c>
      <c r="CJ21" s="16" t="s">
        <v>138</v>
      </c>
      <c r="CK21" s="16" t="s">
        <v>138</v>
      </c>
      <c r="CL21" s="16" t="s">
        <v>138</v>
      </c>
      <c r="CM21" s="16" t="s">
        <v>138</v>
      </c>
      <c r="CN21" s="16" t="s">
        <v>138</v>
      </c>
      <c r="CO21" s="16" t="s">
        <v>138</v>
      </c>
      <c r="CP21" s="16" t="s">
        <v>138</v>
      </c>
      <c r="CQ21" s="16" t="s">
        <v>138</v>
      </c>
      <c r="CR21" s="16" t="s">
        <v>138</v>
      </c>
      <c r="CS21" s="16" t="s">
        <v>138</v>
      </c>
      <c r="CT21" s="16" t="s">
        <v>138</v>
      </c>
      <c r="CU21" s="16" t="s">
        <v>138</v>
      </c>
      <c r="CV21" s="16">
        <v>7200</v>
      </c>
      <c r="CW21" s="16" t="s">
        <v>138</v>
      </c>
    </row>
    <row r="22" spans="1:101" s="24" customFormat="1" x14ac:dyDescent="0.25">
      <c r="A22" s="13">
        <v>59</v>
      </c>
      <c r="B22" s="16" t="s">
        <v>138</v>
      </c>
      <c r="C22" s="16" t="s">
        <v>138</v>
      </c>
      <c r="D22" s="16">
        <v>7200</v>
      </c>
      <c r="E22" s="16">
        <v>15000</v>
      </c>
      <c r="F22" s="16" t="s">
        <v>138</v>
      </c>
      <c r="G22" s="16" t="s">
        <v>138</v>
      </c>
      <c r="H22" s="16" t="s">
        <v>138</v>
      </c>
      <c r="I22" s="16" t="s">
        <v>138</v>
      </c>
      <c r="J22" s="16" t="s">
        <v>138</v>
      </c>
      <c r="K22" s="16" t="s">
        <v>138</v>
      </c>
      <c r="L22" s="16" t="s">
        <v>138</v>
      </c>
      <c r="M22" s="16" t="s">
        <v>138</v>
      </c>
      <c r="N22" s="16">
        <v>15000</v>
      </c>
      <c r="O22" s="16">
        <v>15000</v>
      </c>
      <c r="P22" s="16" t="s">
        <v>138</v>
      </c>
      <c r="Q22" s="16" t="s">
        <v>138</v>
      </c>
      <c r="R22" s="16" t="s">
        <v>138</v>
      </c>
      <c r="S22" s="16" t="s">
        <v>138</v>
      </c>
      <c r="T22" s="16" t="s">
        <v>138</v>
      </c>
      <c r="U22" s="16">
        <v>7200</v>
      </c>
      <c r="V22" s="16">
        <v>4761.9047619047615</v>
      </c>
      <c r="W22" s="16" t="s">
        <v>138</v>
      </c>
      <c r="X22" s="16">
        <v>15000</v>
      </c>
      <c r="Y22" s="16">
        <v>25000</v>
      </c>
      <c r="Z22" s="16" t="s">
        <v>138</v>
      </c>
      <c r="AA22" s="16" t="s">
        <v>138</v>
      </c>
      <c r="AB22" s="16" t="s">
        <v>138</v>
      </c>
      <c r="AC22" s="16" t="s">
        <v>138</v>
      </c>
      <c r="AD22" s="16" t="s">
        <v>138</v>
      </c>
      <c r="AE22" s="16" t="s">
        <v>138</v>
      </c>
      <c r="AF22" s="16">
        <v>15000</v>
      </c>
      <c r="AG22" s="16" t="s">
        <v>138</v>
      </c>
      <c r="AH22" s="16">
        <v>15000</v>
      </c>
      <c r="AI22" s="16">
        <v>19000</v>
      </c>
      <c r="AJ22" s="16" t="s">
        <v>138</v>
      </c>
      <c r="AK22" s="16" t="s">
        <v>138</v>
      </c>
      <c r="AL22" s="16" t="s">
        <v>138</v>
      </c>
      <c r="AM22" s="16" t="s">
        <v>138</v>
      </c>
      <c r="AN22" s="16" t="s">
        <v>138</v>
      </c>
      <c r="AO22" s="16" t="s">
        <v>138</v>
      </c>
      <c r="AP22" s="16" t="s">
        <v>138</v>
      </c>
      <c r="AQ22" s="16" t="s">
        <v>138</v>
      </c>
      <c r="AR22" s="16">
        <v>30000</v>
      </c>
      <c r="AS22" s="16">
        <v>4761.9047619047615</v>
      </c>
      <c r="AT22" s="16" t="s">
        <v>138</v>
      </c>
      <c r="AU22" s="16" t="s">
        <v>138</v>
      </c>
      <c r="AV22" s="16">
        <v>16666.666666666668</v>
      </c>
      <c r="AW22" s="16" t="s">
        <v>138</v>
      </c>
      <c r="AX22" s="16" t="s">
        <v>138</v>
      </c>
      <c r="AY22" s="16" t="s">
        <v>138</v>
      </c>
      <c r="AZ22" s="16">
        <v>19000</v>
      </c>
      <c r="BA22" s="16" t="s">
        <v>138</v>
      </c>
      <c r="BB22" s="16">
        <v>7200</v>
      </c>
      <c r="BC22" s="16">
        <v>15000</v>
      </c>
      <c r="BD22" s="16" t="s">
        <v>138</v>
      </c>
      <c r="BE22" s="16" t="s">
        <v>138</v>
      </c>
      <c r="BF22" s="16" t="s">
        <v>138</v>
      </c>
      <c r="BG22" s="16" t="s">
        <v>138</v>
      </c>
      <c r="BH22" s="16" t="s">
        <v>138</v>
      </c>
      <c r="BI22" s="16">
        <v>15000</v>
      </c>
      <c r="BJ22" s="16" t="s">
        <v>138</v>
      </c>
      <c r="BK22" s="16">
        <v>30000</v>
      </c>
      <c r="BL22" s="16" t="s">
        <v>138</v>
      </c>
      <c r="BM22" s="16" t="s">
        <v>138</v>
      </c>
      <c r="BN22" s="16" t="s">
        <v>138</v>
      </c>
      <c r="BO22" s="16">
        <v>30000</v>
      </c>
      <c r="BP22" s="16" t="s">
        <v>138</v>
      </c>
      <c r="BQ22" s="16" t="s">
        <v>138</v>
      </c>
      <c r="BR22" s="16">
        <v>7200</v>
      </c>
      <c r="BS22" s="16" t="s">
        <v>138</v>
      </c>
      <c r="BT22" s="16" t="s">
        <v>138</v>
      </c>
      <c r="BU22" s="16">
        <v>15000</v>
      </c>
      <c r="BV22" s="16" t="s">
        <v>138</v>
      </c>
      <c r="BW22" s="16" t="s">
        <v>138</v>
      </c>
      <c r="BX22" s="16" t="s">
        <v>138</v>
      </c>
      <c r="BY22" s="16">
        <v>7200</v>
      </c>
      <c r="BZ22" s="16" t="s">
        <v>138</v>
      </c>
      <c r="CA22" s="16" t="s">
        <v>138</v>
      </c>
      <c r="CB22" s="16" t="s">
        <v>138</v>
      </c>
      <c r="CC22" s="16" t="s">
        <v>138</v>
      </c>
      <c r="CD22" s="16" t="s">
        <v>138</v>
      </c>
      <c r="CE22" s="16" t="s">
        <v>138</v>
      </c>
      <c r="CF22" s="16" t="s">
        <v>138</v>
      </c>
      <c r="CG22" s="16" t="s">
        <v>138</v>
      </c>
      <c r="CH22" s="16">
        <v>15000</v>
      </c>
      <c r="CI22" s="16" t="s">
        <v>138</v>
      </c>
      <c r="CJ22" s="16" t="s">
        <v>138</v>
      </c>
      <c r="CK22" s="16" t="s">
        <v>138</v>
      </c>
      <c r="CL22" s="16" t="s">
        <v>138</v>
      </c>
      <c r="CM22" s="16" t="s">
        <v>138</v>
      </c>
      <c r="CN22" s="16" t="s">
        <v>138</v>
      </c>
      <c r="CO22" s="16" t="s">
        <v>138</v>
      </c>
      <c r="CP22" s="16" t="s">
        <v>138</v>
      </c>
      <c r="CQ22" s="16">
        <v>7200</v>
      </c>
      <c r="CR22" s="16" t="s">
        <v>138</v>
      </c>
      <c r="CS22" s="16" t="s">
        <v>138</v>
      </c>
      <c r="CT22" s="16" t="s">
        <v>138</v>
      </c>
      <c r="CU22" s="16" t="s">
        <v>138</v>
      </c>
      <c r="CV22" s="16">
        <v>7200</v>
      </c>
      <c r="CW22" s="16" t="s">
        <v>138</v>
      </c>
    </row>
    <row r="23" spans="1:101" s="24" customFormat="1" x14ac:dyDescent="0.25">
      <c r="A23" s="13">
        <v>60</v>
      </c>
      <c r="B23" s="16" t="s">
        <v>138</v>
      </c>
      <c r="C23" s="16">
        <v>60000</v>
      </c>
      <c r="D23" s="16">
        <v>7200</v>
      </c>
      <c r="E23" s="16">
        <v>15000</v>
      </c>
      <c r="F23" s="16" t="s">
        <v>138</v>
      </c>
      <c r="G23" s="16" t="s">
        <v>138</v>
      </c>
      <c r="H23" s="16">
        <v>60000</v>
      </c>
      <c r="I23" s="16">
        <v>7200</v>
      </c>
      <c r="J23" s="16">
        <v>60000</v>
      </c>
      <c r="K23" s="16" t="s">
        <v>138</v>
      </c>
      <c r="L23" s="16" t="s">
        <v>138</v>
      </c>
      <c r="M23" s="16" t="s">
        <v>138</v>
      </c>
      <c r="N23" s="16" t="s">
        <v>138</v>
      </c>
      <c r="O23" s="16">
        <v>15000</v>
      </c>
      <c r="P23" s="16" t="s">
        <v>138</v>
      </c>
      <c r="Q23" s="16">
        <v>30000</v>
      </c>
      <c r="R23" s="16" t="s">
        <v>138</v>
      </c>
      <c r="S23" s="16" t="s">
        <v>138</v>
      </c>
      <c r="T23" s="16" t="s">
        <v>138</v>
      </c>
      <c r="U23" s="16">
        <v>7200</v>
      </c>
      <c r="V23" s="16">
        <v>4761.9047619047615</v>
      </c>
      <c r="W23" s="16">
        <v>60000</v>
      </c>
      <c r="X23" s="16">
        <v>15000</v>
      </c>
      <c r="Y23" s="16">
        <v>25000</v>
      </c>
      <c r="Z23" s="16" t="s">
        <v>138</v>
      </c>
      <c r="AA23" s="16">
        <v>19000</v>
      </c>
      <c r="AB23" s="16" t="s">
        <v>138</v>
      </c>
      <c r="AC23" s="16" t="s">
        <v>138</v>
      </c>
      <c r="AD23" s="16">
        <v>30000</v>
      </c>
      <c r="AE23" s="16" t="s">
        <v>138</v>
      </c>
      <c r="AF23" s="16">
        <v>15000</v>
      </c>
      <c r="AG23" s="16" t="s">
        <v>138</v>
      </c>
      <c r="AH23" s="16">
        <v>15000</v>
      </c>
      <c r="AI23" s="16">
        <v>25000</v>
      </c>
      <c r="AJ23" s="16" t="s">
        <v>138</v>
      </c>
      <c r="AK23" s="16" t="s">
        <v>138</v>
      </c>
      <c r="AL23" s="16" t="s">
        <v>138</v>
      </c>
      <c r="AM23" s="16" t="s">
        <v>138</v>
      </c>
      <c r="AN23" s="16" t="s">
        <v>138</v>
      </c>
      <c r="AO23" s="16" t="s">
        <v>138</v>
      </c>
      <c r="AP23" s="16" t="s">
        <v>138</v>
      </c>
      <c r="AQ23" s="16" t="s">
        <v>138</v>
      </c>
      <c r="AR23" s="16" t="s">
        <v>138</v>
      </c>
      <c r="AS23" s="16">
        <v>4761.9047619047615</v>
      </c>
      <c r="AT23" s="16">
        <v>60000</v>
      </c>
      <c r="AU23" s="16" t="s">
        <v>138</v>
      </c>
      <c r="AV23" s="16">
        <v>16666.666666666668</v>
      </c>
      <c r="AW23" s="16" t="s">
        <v>138</v>
      </c>
      <c r="AX23" s="16" t="s">
        <v>138</v>
      </c>
      <c r="AY23" s="16">
        <v>30000</v>
      </c>
      <c r="AZ23" s="16">
        <v>19000</v>
      </c>
      <c r="BA23" s="16" t="s">
        <v>138</v>
      </c>
      <c r="BB23" s="16">
        <v>7200</v>
      </c>
      <c r="BC23" s="16">
        <v>15000</v>
      </c>
      <c r="BD23" s="16">
        <v>60000</v>
      </c>
      <c r="BE23" s="16" t="s">
        <v>138</v>
      </c>
      <c r="BF23" s="16" t="s">
        <v>138</v>
      </c>
      <c r="BG23" s="16" t="s">
        <v>138</v>
      </c>
      <c r="BH23" s="16">
        <v>60000</v>
      </c>
      <c r="BI23" s="16">
        <v>15000</v>
      </c>
      <c r="BJ23" s="16" t="s">
        <v>138</v>
      </c>
      <c r="BK23" s="16" t="s">
        <v>138</v>
      </c>
      <c r="BL23" s="16">
        <v>60000</v>
      </c>
      <c r="BM23" s="16" t="s">
        <v>138</v>
      </c>
      <c r="BN23" s="16" t="s">
        <v>138</v>
      </c>
      <c r="BO23" s="16" t="s">
        <v>138</v>
      </c>
      <c r="BP23" s="16" t="s">
        <v>138</v>
      </c>
      <c r="BQ23" s="16" t="s">
        <v>138</v>
      </c>
      <c r="BR23" s="16">
        <v>7200</v>
      </c>
      <c r="BS23" s="16">
        <v>30000</v>
      </c>
      <c r="BT23" s="16" t="s">
        <v>138</v>
      </c>
      <c r="BU23" s="16">
        <v>15000</v>
      </c>
      <c r="BV23" s="16">
        <v>60000</v>
      </c>
      <c r="BW23" s="16" t="s">
        <v>138</v>
      </c>
      <c r="BX23" s="16" t="s">
        <v>138</v>
      </c>
      <c r="BY23" s="16">
        <v>7200</v>
      </c>
      <c r="BZ23" s="16" t="s">
        <v>138</v>
      </c>
      <c r="CA23" s="16" t="s">
        <v>138</v>
      </c>
      <c r="CB23" s="16" t="s">
        <v>138</v>
      </c>
      <c r="CC23" s="16" t="s">
        <v>138</v>
      </c>
      <c r="CD23" s="16" t="s">
        <v>138</v>
      </c>
      <c r="CE23" s="16" t="s">
        <v>138</v>
      </c>
      <c r="CF23" s="16" t="s">
        <v>138</v>
      </c>
      <c r="CG23" s="16" t="s">
        <v>138</v>
      </c>
      <c r="CH23" s="16">
        <v>15000</v>
      </c>
      <c r="CI23" s="16" t="s">
        <v>138</v>
      </c>
      <c r="CJ23" s="16" t="s">
        <v>138</v>
      </c>
      <c r="CK23" s="16" t="s">
        <v>138</v>
      </c>
      <c r="CL23" s="16" t="s">
        <v>138</v>
      </c>
      <c r="CM23" s="16" t="s">
        <v>138</v>
      </c>
      <c r="CN23" s="16" t="s">
        <v>138</v>
      </c>
      <c r="CO23" s="16" t="s">
        <v>138</v>
      </c>
      <c r="CP23" s="16" t="s">
        <v>138</v>
      </c>
      <c r="CQ23" s="16">
        <v>7200</v>
      </c>
      <c r="CR23" s="16" t="s">
        <v>138</v>
      </c>
      <c r="CS23" s="16" t="s">
        <v>138</v>
      </c>
      <c r="CT23" s="16" t="s">
        <v>138</v>
      </c>
      <c r="CU23" s="16">
        <v>7200</v>
      </c>
      <c r="CV23" s="16">
        <v>7200</v>
      </c>
      <c r="CW23" s="16" t="s">
        <v>138</v>
      </c>
    </row>
    <row r="24" spans="1:101" s="24" customFormat="1" x14ac:dyDescent="0.25">
      <c r="A24" s="13">
        <v>61</v>
      </c>
      <c r="B24" s="16" t="s">
        <v>138</v>
      </c>
      <c r="C24" s="16">
        <v>61000</v>
      </c>
      <c r="D24" s="16">
        <v>7200</v>
      </c>
      <c r="E24" s="16">
        <v>15000</v>
      </c>
      <c r="F24" s="16" t="s">
        <v>138</v>
      </c>
      <c r="G24" s="16" t="s">
        <v>138</v>
      </c>
      <c r="H24" s="16">
        <v>61000</v>
      </c>
      <c r="I24" s="16">
        <v>7200</v>
      </c>
      <c r="J24" s="16">
        <v>61000</v>
      </c>
      <c r="K24" s="16" t="s">
        <v>138</v>
      </c>
      <c r="L24" s="16" t="s">
        <v>138</v>
      </c>
      <c r="M24" s="16" t="s">
        <v>138</v>
      </c>
      <c r="N24" s="16" t="s">
        <v>138</v>
      </c>
      <c r="O24" s="16">
        <v>15000</v>
      </c>
      <c r="P24" s="16" t="s">
        <v>138</v>
      </c>
      <c r="Q24" s="16" t="s">
        <v>138</v>
      </c>
      <c r="R24" s="16">
        <v>19000</v>
      </c>
      <c r="S24" s="16" t="s">
        <v>138</v>
      </c>
      <c r="T24" s="16" t="s">
        <v>138</v>
      </c>
      <c r="U24" s="16">
        <v>7200</v>
      </c>
      <c r="V24" s="16">
        <v>4761.9047619047615</v>
      </c>
      <c r="W24" s="16">
        <v>61000</v>
      </c>
      <c r="X24" s="16">
        <v>15000</v>
      </c>
      <c r="Y24" s="16" t="s">
        <v>138</v>
      </c>
      <c r="Z24" s="16">
        <v>30000</v>
      </c>
      <c r="AA24" s="16">
        <v>19000</v>
      </c>
      <c r="AB24" s="16" t="s">
        <v>138</v>
      </c>
      <c r="AC24" s="16" t="s">
        <v>138</v>
      </c>
      <c r="AD24" s="16" t="s">
        <v>138</v>
      </c>
      <c r="AE24" s="16" t="s">
        <v>138</v>
      </c>
      <c r="AF24" s="16">
        <v>15000</v>
      </c>
      <c r="AG24" s="16" t="s">
        <v>138</v>
      </c>
      <c r="AH24" s="16">
        <v>15000</v>
      </c>
      <c r="AI24" s="16">
        <v>25000</v>
      </c>
      <c r="AJ24" s="16" t="s">
        <v>138</v>
      </c>
      <c r="AK24" s="16" t="s">
        <v>138</v>
      </c>
      <c r="AL24" s="16" t="s">
        <v>138</v>
      </c>
      <c r="AM24" s="16" t="s">
        <v>138</v>
      </c>
      <c r="AN24" s="16" t="s">
        <v>138</v>
      </c>
      <c r="AO24" s="16" t="s">
        <v>138</v>
      </c>
      <c r="AP24" s="16" t="s">
        <v>138</v>
      </c>
      <c r="AQ24" s="16" t="s">
        <v>138</v>
      </c>
      <c r="AR24" s="16">
        <v>30000</v>
      </c>
      <c r="AS24" s="16">
        <v>4761.9047619047615</v>
      </c>
      <c r="AT24" s="16">
        <v>61000</v>
      </c>
      <c r="AU24" s="16" t="s">
        <v>138</v>
      </c>
      <c r="AV24" s="16">
        <v>16666.666666666668</v>
      </c>
      <c r="AW24" s="16" t="s">
        <v>138</v>
      </c>
      <c r="AX24" s="16" t="s">
        <v>138</v>
      </c>
      <c r="AY24" s="16" t="s">
        <v>138</v>
      </c>
      <c r="AZ24" s="16">
        <v>19000</v>
      </c>
      <c r="BA24" s="16" t="s">
        <v>138</v>
      </c>
      <c r="BB24" s="16">
        <v>7200</v>
      </c>
      <c r="BC24" s="16">
        <v>15000</v>
      </c>
      <c r="BD24" s="16">
        <v>61000</v>
      </c>
      <c r="BE24" s="16" t="s">
        <v>138</v>
      </c>
      <c r="BF24" s="16" t="s">
        <v>138</v>
      </c>
      <c r="BG24" s="16" t="s">
        <v>138</v>
      </c>
      <c r="BH24" s="16">
        <v>61000</v>
      </c>
      <c r="BI24" s="16">
        <v>15000</v>
      </c>
      <c r="BJ24" s="16" t="s">
        <v>138</v>
      </c>
      <c r="BK24" s="16">
        <v>30000</v>
      </c>
      <c r="BL24" s="16">
        <v>61000</v>
      </c>
      <c r="BM24" s="16" t="s">
        <v>138</v>
      </c>
      <c r="BN24" s="16" t="s">
        <v>138</v>
      </c>
      <c r="BO24" s="16">
        <v>30000</v>
      </c>
      <c r="BP24" s="16" t="s">
        <v>138</v>
      </c>
      <c r="BQ24" s="16" t="s">
        <v>138</v>
      </c>
      <c r="BR24" s="16">
        <v>7200</v>
      </c>
      <c r="BS24" s="16" t="s">
        <v>138</v>
      </c>
      <c r="BT24" s="16" t="s">
        <v>138</v>
      </c>
      <c r="BU24" s="16">
        <v>15000</v>
      </c>
      <c r="BV24" s="16">
        <v>61000</v>
      </c>
      <c r="BW24" s="16" t="s">
        <v>138</v>
      </c>
      <c r="BX24" s="16" t="s">
        <v>138</v>
      </c>
      <c r="BY24" s="16">
        <v>7200</v>
      </c>
      <c r="BZ24" s="16" t="s">
        <v>138</v>
      </c>
      <c r="CA24" s="16" t="s">
        <v>138</v>
      </c>
      <c r="CB24" s="16" t="s">
        <v>138</v>
      </c>
      <c r="CC24" s="16" t="s">
        <v>138</v>
      </c>
      <c r="CD24" s="16" t="s">
        <v>138</v>
      </c>
      <c r="CE24" s="16" t="s">
        <v>138</v>
      </c>
      <c r="CF24" s="16" t="s">
        <v>138</v>
      </c>
      <c r="CG24" s="16" t="s">
        <v>138</v>
      </c>
      <c r="CH24" s="16">
        <v>15000</v>
      </c>
      <c r="CI24" s="16" t="s">
        <v>138</v>
      </c>
      <c r="CJ24" s="16">
        <v>30000</v>
      </c>
      <c r="CK24" s="16" t="s">
        <v>138</v>
      </c>
      <c r="CL24" s="16" t="s">
        <v>138</v>
      </c>
      <c r="CM24" s="16" t="s">
        <v>138</v>
      </c>
      <c r="CN24" s="16" t="s">
        <v>138</v>
      </c>
      <c r="CO24" s="16" t="s">
        <v>138</v>
      </c>
      <c r="CP24" s="16" t="s">
        <v>138</v>
      </c>
      <c r="CQ24" s="16">
        <v>7200</v>
      </c>
      <c r="CR24" s="16" t="s">
        <v>138</v>
      </c>
      <c r="CS24" s="16" t="s">
        <v>138</v>
      </c>
      <c r="CT24" s="16" t="s">
        <v>138</v>
      </c>
      <c r="CU24" s="16">
        <v>7200</v>
      </c>
      <c r="CV24" s="16">
        <v>7200</v>
      </c>
      <c r="CW24" s="16" t="s">
        <v>138</v>
      </c>
    </row>
    <row r="25" spans="1:101" s="24" customFormat="1" x14ac:dyDescent="0.25">
      <c r="A25" s="13">
        <v>62</v>
      </c>
      <c r="B25" s="16" t="s">
        <v>138</v>
      </c>
      <c r="C25" s="16">
        <v>62000</v>
      </c>
      <c r="D25" s="16">
        <v>7200</v>
      </c>
      <c r="E25" s="16">
        <v>15000</v>
      </c>
      <c r="F25" s="16" t="s">
        <v>138</v>
      </c>
      <c r="G25" s="16" t="s">
        <v>138</v>
      </c>
      <c r="H25" s="16">
        <v>62000</v>
      </c>
      <c r="I25" s="16">
        <v>7200</v>
      </c>
      <c r="J25" s="16">
        <v>62000</v>
      </c>
      <c r="K25" s="16" t="s">
        <v>138</v>
      </c>
      <c r="L25" s="16" t="s">
        <v>138</v>
      </c>
      <c r="M25" s="16" t="s">
        <v>138</v>
      </c>
      <c r="N25" s="16" t="s">
        <v>138</v>
      </c>
      <c r="O25" s="16">
        <v>15000</v>
      </c>
      <c r="P25" s="16" t="s">
        <v>138</v>
      </c>
      <c r="Q25" s="16">
        <v>30000</v>
      </c>
      <c r="R25" s="16">
        <v>19000</v>
      </c>
      <c r="S25" s="16" t="s">
        <v>138</v>
      </c>
      <c r="T25" s="16" t="s">
        <v>138</v>
      </c>
      <c r="U25" s="16">
        <v>7200</v>
      </c>
      <c r="V25" s="16">
        <v>4761.9047619047615</v>
      </c>
      <c r="W25" s="16">
        <v>62000</v>
      </c>
      <c r="X25" s="16">
        <v>15000</v>
      </c>
      <c r="Y25" s="16" t="s">
        <v>138</v>
      </c>
      <c r="Z25" s="16" t="s">
        <v>138</v>
      </c>
      <c r="AA25" s="16">
        <v>19000</v>
      </c>
      <c r="AB25" s="16" t="s">
        <v>138</v>
      </c>
      <c r="AC25" s="16" t="s">
        <v>138</v>
      </c>
      <c r="AD25" s="16">
        <v>30000</v>
      </c>
      <c r="AE25" s="16" t="s">
        <v>138</v>
      </c>
      <c r="AF25" s="16">
        <v>15000</v>
      </c>
      <c r="AG25" s="16" t="s">
        <v>138</v>
      </c>
      <c r="AH25" s="16">
        <v>15000</v>
      </c>
      <c r="AI25" s="16">
        <v>25000</v>
      </c>
      <c r="AJ25" s="16" t="s">
        <v>138</v>
      </c>
      <c r="AK25" s="16" t="s">
        <v>138</v>
      </c>
      <c r="AL25" s="16" t="s">
        <v>138</v>
      </c>
      <c r="AM25" s="16" t="s">
        <v>138</v>
      </c>
      <c r="AN25" s="16" t="s">
        <v>138</v>
      </c>
      <c r="AO25" s="16" t="s">
        <v>138</v>
      </c>
      <c r="AP25" s="16" t="s">
        <v>138</v>
      </c>
      <c r="AQ25" s="16" t="s">
        <v>138</v>
      </c>
      <c r="AR25" s="16" t="s">
        <v>138</v>
      </c>
      <c r="AS25" s="16">
        <v>4761.9047619047615</v>
      </c>
      <c r="AT25" s="16">
        <v>62000</v>
      </c>
      <c r="AU25" s="16" t="s">
        <v>138</v>
      </c>
      <c r="AV25" s="16">
        <v>16666.666666666668</v>
      </c>
      <c r="AW25" s="16" t="s">
        <v>138</v>
      </c>
      <c r="AX25" s="16" t="s">
        <v>138</v>
      </c>
      <c r="AY25" s="16">
        <v>30000</v>
      </c>
      <c r="AZ25" s="16">
        <v>19000</v>
      </c>
      <c r="BA25" s="16" t="s">
        <v>138</v>
      </c>
      <c r="BB25" s="16">
        <v>7200</v>
      </c>
      <c r="BC25" s="16">
        <v>15000</v>
      </c>
      <c r="BD25" s="16">
        <v>62000</v>
      </c>
      <c r="BE25" s="16" t="s">
        <v>138</v>
      </c>
      <c r="BF25" s="16" t="s">
        <v>138</v>
      </c>
      <c r="BG25" s="16" t="s">
        <v>138</v>
      </c>
      <c r="BH25" s="16">
        <v>62000</v>
      </c>
      <c r="BI25" s="16">
        <v>15000</v>
      </c>
      <c r="BJ25" s="16" t="s">
        <v>138</v>
      </c>
      <c r="BK25" s="16" t="s">
        <v>138</v>
      </c>
      <c r="BL25" s="16">
        <v>62000</v>
      </c>
      <c r="BM25" s="16" t="s">
        <v>138</v>
      </c>
      <c r="BN25" s="16" t="s">
        <v>138</v>
      </c>
      <c r="BO25" s="16" t="s">
        <v>138</v>
      </c>
      <c r="BP25" s="16" t="s">
        <v>138</v>
      </c>
      <c r="BQ25" s="16" t="s">
        <v>138</v>
      </c>
      <c r="BR25" s="16">
        <v>7200</v>
      </c>
      <c r="BS25" s="16">
        <v>30000</v>
      </c>
      <c r="BT25" s="16" t="s">
        <v>138</v>
      </c>
      <c r="BU25" s="16">
        <v>15000</v>
      </c>
      <c r="BV25" s="16">
        <v>62000</v>
      </c>
      <c r="BW25" s="16" t="s">
        <v>138</v>
      </c>
      <c r="BX25" s="16" t="s">
        <v>138</v>
      </c>
      <c r="BY25" s="16">
        <v>7200</v>
      </c>
      <c r="BZ25" s="16" t="s">
        <v>138</v>
      </c>
      <c r="CA25" s="16">
        <v>7200</v>
      </c>
      <c r="CB25" s="16" t="s">
        <v>138</v>
      </c>
      <c r="CC25" s="16" t="s">
        <v>138</v>
      </c>
      <c r="CD25" s="16" t="s">
        <v>138</v>
      </c>
      <c r="CE25" s="16" t="s">
        <v>138</v>
      </c>
      <c r="CF25" s="16" t="s">
        <v>138</v>
      </c>
      <c r="CG25" s="16" t="s">
        <v>138</v>
      </c>
      <c r="CH25" s="16" t="s">
        <v>138</v>
      </c>
      <c r="CI25" s="16" t="s">
        <v>138</v>
      </c>
      <c r="CJ25" s="16" t="s">
        <v>138</v>
      </c>
      <c r="CK25" s="16" t="s">
        <v>138</v>
      </c>
      <c r="CL25" s="16" t="s">
        <v>138</v>
      </c>
      <c r="CM25" s="16" t="s">
        <v>138</v>
      </c>
      <c r="CN25" s="16" t="s">
        <v>138</v>
      </c>
      <c r="CO25" s="16" t="s">
        <v>138</v>
      </c>
      <c r="CP25" s="16" t="s">
        <v>138</v>
      </c>
      <c r="CQ25" s="16">
        <v>7200</v>
      </c>
      <c r="CR25" s="16" t="s">
        <v>138</v>
      </c>
      <c r="CS25" s="16" t="s">
        <v>138</v>
      </c>
      <c r="CT25" s="16" t="s">
        <v>138</v>
      </c>
      <c r="CU25" s="16">
        <v>7200</v>
      </c>
      <c r="CV25" s="16">
        <v>7200</v>
      </c>
      <c r="CW25" s="16" t="s">
        <v>138</v>
      </c>
    </row>
    <row r="26" spans="1:101" s="24" customFormat="1" x14ac:dyDescent="0.25">
      <c r="A26" s="13">
        <v>63</v>
      </c>
      <c r="B26" s="16" t="s">
        <v>138</v>
      </c>
      <c r="C26" s="16">
        <v>63000</v>
      </c>
      <c r="D26" s="16">
        <v>7200</v>
      </c>
      <c r="E26" s="16">
        <v>15000</v>
      </c>
      <c r="F26" s="16" t="s">
        <v>138</v>
      </c>
      <c r="G26" s="16" t="s">
        <v>138</v>
      </c>
      <c r="H26" s="16">
        <v>63000</v>
      </c>
      <c r="I26" s="16">
        <v>7200</v>
      </c>
      <c r="J26" s="16">
        <v>63000</v>
      </c>
      <c r="K26" s="16">
        <v>19000</v>
      </c>
      <c r="L26" s="16" t="s">
        <v>138</v>
      </c>
      <c r="M26" s="16" t="s">
        <v>138</v>
      </c>
      <c r="N26" s="16" t="s">
        <v>138</v>
      </c>
      <c r="O26" s="16">
        <v>15000</v>
      </c>
      <c r="P26" s="16" t="s">
        <v>138</v>
      </c>
      <c r="Q26" s="16" t="s">
        <v>138</v>
      </c>
      <c r="R26" s="16">
        <v>19000</v>
      </c>
      <c r="S26" s="16" t="s">
        <v>138</v>
      </c>
      <c r="T26" s="16" t="s">
        <v>138</v>
      </c>
      <c r="U26" s="16">
        <v>7200</v>
      </c>
      <c r="V26" s="16">
        <v>4761.9047619047615</v>
      </c>
      <c r="W26" s="16">
        <v>63000</v>
      </c>
      <c r="X26" s="16">
        <v>15000</v>
      </c>
      <c r="Y26" s="16" t="s">
        <v>138</v>
      </c>
      <c r="Z26" s="16">
        <v>30000</v>
      </c>
      <c r="AA26" s="16">
        <v>19000</v>
      </c>
      <c r="AB26" s="16" t="s">
        <v>138</v>
      </c>
      <c r="AC26" s="16" t="s">
        <v>138</v>
      </c>
      <c r="AD26" s="16" t="s">
        <v>138</v>
      </c>
      <c r="AE26" s="16" t="s">
        <v>138</v>
      </c>
      <c r="AF26" s="16">
        <v>15000</v>
      </c>
      <c r="AG26" s="16" t="s">
        <v>138</v>
      </c>
      <c r="AH26" s="16" t="s">
        <v>138</v>
      </c>
      <c r="AI26" s="16" t="s">
        <v>138</v>
      </c>
      <c r="AJ26" s="16" t="s">
        <v>138</v>
      </c>
      <c r="AK26" s="16" t="s">
        <v>138</v>
      </c>
      <c r="AL26" s="16" t="s">
        <v>138</v>
      </c>
      <c r="AM26" s="16" t="s">
        <v>138</v>
      </c>
      <c r="AN26" s="16" t="s">
        <v>138</v>
      </c>
      <c r="AO26" s="16" t="s">
        <v>138</v>
      </c>
      <c r="AP26" s="16" t="s">
        <v>138</v>
      </c>
      <c r="AQ26" s="16" t="s">
        <v>138</v>
      </c>
      <c r="AR26" s="16">
        <v>30000</v>
      </c>
      <c r="AS26" s="16">
        <v>4761.9047619047615</v>
      </c>
      <c r="AT26" s="16">
        <v>63000</v>
      </c>
      <c r="AU26" s="16">
        <v>30000</v>
      </c>
      <c r="AV26" s="16" t="s">
        <v>138</v>
      </c>
      <c r="AW26" s="16" t="s">
        <v>138</v>
      </c>
      <c r="AX26" s="16" t="s">
        <v>138</v>
      </c>
      <c r="AY26" s="16" t="s">
        <v>138</v>
      </c>
      <c r="AZ26" s="16">
        <v>19000</v>
      </c>
      <c r="BA26" s="16" t="s">
        <v>138</v>
      </c>
      <c r="BB26" s="16">
        <v>7200</v>
      </c>
      <c r="BC26" s="16">
        <v>15000</v>
      </c>
      <c r="BD26" s="16">
        <v>63000</v>
      </c>
      <c r="BE26" s="16" t="s">
        <v>138</v>
      </c>
      <c r="BF26" s="16" t="s">
        <v>138</v>
      </c>
      <c r="BG26" s="16" t="s">
        <v>138</v>
      </c>
      <c r="BH26" s="16">
        <v>63000</v>
      </c>
      <c r="BI26" s="16">
        <v>15000</v>
      </c>
      <c r="BJ26" s="16">
        <v>15000</v>
      </c>
      <c r="BK26" s="16">
        <v>30000</v>
      </c>
      <c r="BL26" s="16">
        <v>63000</v>
      </c>
      <c r="BM26" s="16" t="s">
        <v>138</v>
      </c>
      <c r="BN26" s="16" t="s">
        <v>138</v>
      </c>
      <c r="BO26" s="16">
        <v>30000</v>
      </c>
      <c r="BP26" s="16" t="s">
        <v>138</v>
      </c>
      <c r="BQ26" s="16" t="s">
        <v>138</v>
      </c>
      <c r="BR26" s="16">
        <v>7200</v>
      </c>
      <c r="BS26" s="16" t="s">
        <v>138</v>
      </c>
      <c r="BT26" s="16" t="s">
        <v>138</v>
      </c>
      <c r="BU26" s="16">
        <v>15000</v>
      </c>
      <c r="BV26" s="16">
        <v>63000</v>
      </c>
      <c r="BW26" s="16" t="s">
        <v>138</v>
      </c>
      <c r="BX26" s="16" t="s">
        <v>138</v>
      </c>
      <c r="BY26" s="16">
        <v>7200</v>
      </c>
      <c r="BZ26" s="16" t="s">
        <v>138</v>
      </c>
      <c r="CA26" s="16">
        <v>7200</v>
      </c>
      <c r="CB26" s="16" t="s">
        <v>138</v>
      </c>
      <c r="CC26" s="16" t="s">
        <v>138</v>
      </c>
      <c r="CD26" s="16" t="s">
        <v>138</v>
      </c>
      <c r="CE26" s="16" t="s">
        <v>138</v>
      </c>
      <c r="CF26" s="16" t="s">
        <v>138</v>
      </c>
      <c r="CG26" s="16" t="s">
        <v>138</v>
      </c>
      <c r="CH26" s="16" t="s">
        <v>138</v>
      </c>
      <c r="CI26" s="16" t="s">
        <v>138</v>
      </c>
      <c r="CJ26" s="16">
        <v>30000</v>
      </c>
      <c r="CK26" s="16" t="s">
        <v>138</v>
      </c>
      <c r="CL26" s="16" t="s">
        <v>138</v>
      </c>
      <c r="CM26" s="16" t="s">
        <v>138</v>
      </c>
      <c r="CN26" s="16" t="s">
        <v>138</v>
      </c>
      <c r="CO26" s="16" t="s">
        <v>138</v>
      </c>
      <c r="CP26" s="16" t="s">
        <v>138</v>
      </c>
      <c r="CQ26" s="16">
        <v>7200</v>
      </c>
      <c r="CR26" s="16" t="s">
        <v>138</v>
      </c>
      <c r="CS26" s="16" t="s">
        <v>138</v>
      </c>
      <c r="CT26" s="16" t="s">
        <v>138</v>
      </c>
      <c r="CU26" s="16">
        <v>7200</v>
      </c>
      <c r="CV26" s="16">
        <v>7200</v>
      </c>
      <c r="CW26" s="16" t="s">
        <v>138</v>
      </c>
    </row>
    <row r="27" spans="1:101" s="24" customFormat="1" x14ac:dyDescent="0.25">
      <c r="A27" s="13">
        <v>64</v>
      </c>
      <c r="B27" s="16" t="s">
        <v>138</v>
      </c>
      <c r="C27" s="16">
        <v>64000</v>
      </c>
      <c r="D27" s="16">
        <v>7200</v>
      </c>
      <c r="E27" s="16">
        <v>15000</v>
      </c>
      <c r="F27" s="16" t="s">
        <v>138</v>
      </c>
      <c r="G27" s="16" t="s">
        <v>138</v>
      </c>
      <c r="H27" s="16">
        <v>64000</v>
      </c>
      <c r="I27" s="16">
        <v>7200</v>
      </c>
      <c r="J27" s="16">
        <v>64000</v>
      </c>
      <c r="K27" s="16">
        <v>19000</v>
      </c>
      <c r="L27" s="16">
        <v>30000</v>
      </c>
      <c r="M27" s="16" t="s">
        <v>138</v>
      </c>
      <c r="N27" s="16" t="s">
        <v>138</v>
      </c>
      <c r="O27" s="16">
        <v>15000</v>
      </c>
      <c r="P27" s="16" t="s">
        <v>138</v>
      </c>
      <c r="Q27" s="16">
        <v>30000</v>
      </c>
      <c r="R27" s="16">
        <v>19000</v>
      </c>
      <c r="S27" s="16" t="s">
        <v>138</v>
      </c>
      <c r="T27" s="16" t="s">
        <v>138</v>
      </c>
      <c r="U27" s="16">
        <v>7200</v>
      </c>
      <c r="V27" s="16">
        <v>4761.9047619047615</v>
      </c>
      <c r="W27" s="16">
        <v>64000</v>
      </c>
      <c r="X27" s="16" t="s">
        <v>138</v>
      </c>
      <c r="Y27" s="16" t="s">
        <v>138</v>
      </c>
      <c r="Z27" s="16" t="s">
        <v>138</v>
      </c>
      <c r="AA27" s="16">
        <v>19000</v>
      </c>
      <c r="AB27" s="16" t="s">
        <v>138</v>
      </c>
      <c r="AC27" s="16" t="s">
        <v>138</v>
      </c>
      <c r="AD27" s="16" t="s">
        <v>138</v>
      </c>
      <c r="AE27" s="16" t="s">
        <v>138</v>
      </c>
      <c r="AF27" s="16">
        <v>15000</v>
      </c>
      <c r="AG27" s="16" t="s">
        <v>138</v>
      </c>
      <c r="AH27" s="16" t="s">
        <v>138</v>
      </c>
      <c r="AI27" s="16" t="s">
        <v>138</v>
      </c>
      <c r="AJ27" s="16" t="s">
        <v>138</v>
      </c>
      <c r="AK27" s="16" t="s">
        <v>138</v>
      </c>
      <c r="AL27" s="16" t="s">
        <v>138</v>
      </c>
      <c r="AM27" s="16" t="s">
        <v>138</v>
      </c>
      <c r="AN27" s="16" t="s">
        <v>138</v>
      </c>
      <c r="AO27" s="16" t="s">
        <v>138</v>
      </c>
      <c r="AP27" s="16" t="s">
        <v>138</v>
      </c>
      <c r="AQ27" s="16" t="s">
        <v>138</v>
      </c>
      <c r="AR27" s="16" t="s">
        <v>138</v>
      </c>
      <c r="AS27" s="16">
        <v>4761.9047619047615</v>
      </c>
      <c r="AT27" s="16">
        <v>64000</v>
      </c>
      <c r="AU27" s="16" t="s">
        <v>138</v>
      </c>
      <c r="AV27" s="16" t="s">
        <v>138</v>
      </c>
      <c r="AW27" s="16" t="s">
        <v>138</v>
      </c>
      <c r="AX27" s="16" t="s">
        <v>138</v>
      </c>
      <c r="AY27" s="16">
        <v>30000</v>
      </c>
      <c r="AZ27" s="16">
        <v>19000</v>
      </c>
      <c r="BA27" s="16" t="s">
        <v>138</v>
      </c>
      <c r="BB27" s="16">
        <v>7200</v>
      </c>
      <c r="BC27" s="16">
        <v>15000</v>
      </c>
      <c r="BD27" s="16">
        <v>64000</v>
      </c>
      <c r="BE27" s="16" t="s">
        <v>138</v>
      </c>
      <c r="BF27" s="16" t="s">
        <v>138</v>
      </c>
      <c r="BG27" s="16">
        <v>7200</v>
      </c>
      <c r="BH27" s="16">
        <v>64000</v>
      </c>
      <c r="BI27" s="16" t="s">
        <v>138</v>
      </c>
      <c r="BJ27" s="16">
        <v>15000</v>
      </c>
      <c r="BK27" s="16" t="s">
        <v>138</v>
      </c>
      <c r="BL27" s="16">
        <v>64000</v>
      </c>
      <c r="BM27" s="16" t="s">
        <v>138</v>
      </c>
      <c r="BN27" s="16" t="s">
        <v>138</v>
      </c>
      <c r="BO27" s="16" t="s">
        <v>138</v>
      </c>
      <c r="BP27" s="16" t="s">
        <v>138</v>
      </c>
      <c r="BQ27" s="16" t="s">
        <v>138</v>
      </c>
      <c r="BR27" s="16">
        <v>7200</v>
      </c>
      <c r="BS27" s="16">
        <v>30000</v>
      </c>
      <c r="BT27" s="16" t="s">
        <v>138</v>
      </c>
      <c r="BU27" s="16">
        <v>15000</v>
      </c>
      <c r="BV27" s="16">
        <v>64000</v>
      </c>
      <c r="BW27" s="16" t="s">
        <v>138</v>
      </c>
      <c r="BX27" s="16">
        <v>7200</v>
      </c>
      <c r="BY27" s="16">
        <v>7200</v>
      </c>
      <c r="BZ27" s="16">
        <v>15000</v>
      </c>
      <c r="CA27" s="16">
        <v>7200</v>
      </c>
      <c r="CB27" s="16" t="s">
        <v>138</v>
      </c>
      <c r="CC27" s="16" t="s">
        <v>138</v>
      </c>
      <c r="CD27" s="16" t="s">
        <v>138</v>
      </c>
      <c r="CE27" s="16" t="s">
        <v>138</v>
      </c>
      <c r="CF27" s="16" t="s">
        <v>138</v>
      </c>
      <c r="CG27" s="16" t="s">
        <v>138</v>
      </c>
      <c r="CH27" s="16" t="s">
        <v>138</v>
      </c>
      <c r="CI27" s="16" t="s">
        <v>138</v>
      </c>
      <c r="CJ27" s="16" t="s">
        <v>138</v>
      </c>
      <c r="CK27" s="16" t="s">
        <v>138</v>
      </c>
      <c r="CL27" s="16" t="s">
        <v>138</v>
      </c>
      <c r="CM27" s="16" t="s">
        <v>138</v>
      </c>
      <c r="CN27" s="16" t="s">
        <v>138</v>
      </c>
      <c r="CO27" s="16" t="s">
        <v>138</v>
      </c>
      <c r="CP27" s="16" t="s">
        <v>138</v>
      </c>
      <c r="CQ27" s="16">
        <v>7200</v>
      </c>
      <c r="CR27" s="16" t="s">
        <v>138</v>
      </c>
      <c r="CS27" s="16" t="s">
        <v>138</v>
      </c>
      <c r="CT27" s="16" t="s">
        <v>138</v>
      </c>
      <c r="CU27" s="16">
        <v>7200</v>
      </c>
      <c r="CV27" s="16">
        <v>7200</v>
      </c>
      <c r="CW27" s="16" t="s">
        <v>138</v>
      </c>
    </row>
    <row r="28" spans="1:101" s="24" customFormat="1" x14ac:dyDescent="0.25">
      <c r="A28" s="13">
        <v>65</v>
      </c>
      <c r="B28" s="16" t="s">
        <v>138</v>
      </c>
      <c r="C28" s="16">
        <v>65000</v>
      </c>
      <c r="D28" s="16">
        <v>7200</v>
      </c>
      <c r="E28" s="16">
        <v>15000</v>
      </c>
      <c r="F28" s="16">
        <v>25000</v>
      </c>
      <c r="G28" s="16">
        <v>25000</v>
      </c>
      <c r="H28" s="16">
        <v>65000</v>
      </c>
      <c r="I28" s="16">
        <v>7200</v>
      </c>
      <c r="J28" s="16">
        <v>65000</v>
      </c>
      <c r="K28" s="16">
        <v>19000</v>
      </c>
      <c r="L28" s="16" t="s">
        <v>138</v>
      </c>
      <c r="M28" s="16" t="s">
        <v>138</v>
      </c>
      <c r="N28" s="16" t="s">
        <v>138</v>
      </c>
      <c r="O28" s="16">
        <v>15000</v>
      </c>
      <c r="P28" s="16" t="s">
        <v>138</v>
      </c>
      <c r="Q28" s="16" t="s">
        <v>138</v>
      </c>
      <c r="R28" s="16">
        <v>19000</v>
      </c>
      <c r="S28" s="16">
        <v>25000</v>
      </c>
      <c r="T28" s="16">
        <v>25000</v>
      </c>
      <c r="U28" s="16">
        <v>7200</v>
      </c>
      <c r="V28" s="16">
        <v>4761.9047619047615</v>
      </c>
      <c r="W28" s="16">
        <v>65000</v>
      </c>
      <c r="X28" s="16" t="s">
        <v>138</v>
      </c>
      <c r="Y28" s="16" t="s">
        <v>138</v>
      </c>
      <c r="Z28" s="16">
        <v>30000</v>
      </c>
      <c r="AA28" s="16">
        <v>19000</v>
      </c>
      <c r="AB28" s="16" t="s">
        <v>138</v>
      </c>
      <c r="AC28" s="16" t="s">
        <v>138</v>
      </c>
      <c r="AD28" s="16" t="s">
        <v>138</v>
      </c>
      <c r="AE28" s="16" t="s">
        <v>138</v>
      </c>
      <c r="AF28" s="16" t="s">
        <v>138</v>
      </c>
      <c r="AG28" s="16" t="s">
        <v>138</v>
      </c>
      <c r="AH28" s="16" t="s">
        <v>138</v>
      </c>
      <c r="AI28" s="16" t="s">
        <v>138</v>
      </c>
      <c r="AJ28" s="16" t="s">
        <v>138</v>
      </c>
      <c r="AK28" s="16" t="s">
        <v>138</v>
      </c>
      <c r="AL28" s="16">
        <v>25000</v>
      </c>
      <c r="AM28" s="16">
        <v>25000</v>
      </c>
      <c r="AN28" s="16" t="s">
        <v>138</v>
      </c>
      <c r="AO28" s="16" t="s">
        <v>138</v>
      </c>
      <c r="AP28" s="16">
        <v>25000</v>
      </c>
      <c r="AQ28" s="16">
        <v>25000</v>
      </c>
      <c r="AR28" s="16">
        <v>30000</v>
      </c>
      <c r="AS28" s="16">
        <v>4761.9047619047615</v>
      </c>
      <c r="AT28" s="16">
        <v>65000</v>
      </c>
      <c r="AU28" s="16">
        <v>30000</v>
      </c>
      <c r="AV28" s="16" t="s">
        <v>138</v>
      </c>
      <c r="AW28" s="16">
        <v>25000</v>
      </c>
      <c r="AX28" s="16" t="s">
        <v>138</v>
      </c>
      <c r="AY28" s="16" t="s">
        <v>138</v>
      </c>
      <c r="AZ28" s="16">
        <v>25000</v>
      </c>
      <c r="BA28" s="16" t="s">
        <v>138</v>
      </c>
      <c r="BB28" s="16">
        <v>7200</v>
      </c>
      <c r="BC28" s="16">
        <v>15000</v>
      </c>
      <c r="BD28" s="16">
        <v>65000</v>
      </c>
      <c r="BE28" s="16">
        <v>25000</v>
      </c>
      <c r="BF28" s="16" t="s">
        <v>138</v>
      </c>
      <c r="BG28" s="16">
        <v>7200</v>
      </c>
      <c r="BH28" s="16">
        <v>65000</v>
      </c>
      <c r="BI28" s="16" t="s">
        <v>138</v>
      </c>
      <c r="BJ28" s="16">
        <v>15000</v>
      </c>
      <c r="BK28" s="16">
        <v>30000</v>
      </c>
      <c r="BL28" s="16">
        <v>65000</v>
      </c>
      <c r="BM28" s="16">
        <v>25000</v>
      </c>
      <c r="BN28" s="16" t="s">
        <v>138</v>
      </c>
      <c r="BO28" s="16">
        <v>30000</v>
      </c>
      <c r="BP28" s="16">
        <v>25000</v>
      </c>
      <c r="BQ28" s="16">
        <v>25000</v>
      </c>
      <c r="BR28" s="16">
        <v>7200</v>
      </c>
      <c r="BS28" s="16" t="s">
        <v>138</v>
      </c>
      <c r="BT28" s="16" t="s">
        <v>138</v>
      </c>
      <c r="BU28" s="16">
        <v>15000</v>
      </c>
      <c r="BV28" s="16">
        <v>65000</v>
      </c>
      <c r="BW28" s="16" t="s">
        <v>138</v>
      </c>
      <c r="BX28" s="16">
        <v>7200</v>
      </c>
      <c r="BY28" s="16">
        <v>7200</v>
      </c>
      <c r="BZ28" s="16">
        <v>15000</v>
      </c>
      <c r="CA28" s="16">
        <v>7200</v>
      </c>
      <c r="CB28" s="16">
        <v>25000</v>
      </c>
      <c r="CC28" s="16" t="s">
        <v>138</v>
      </c>
      <c r="CD28" s="16" t="s">
        <v>138</v>
      </c>
      <c r="CE28" s="16" t="s">
        <v>138</v>
      </c>
      <c r="CF28" s="16" t="s">
        <v>138</v>
      </c>
      <c r="CG28" s="16">
        <v>25000</v>
      </c>
      <c r="CH28" s="16" t="s">
        <v>138</v>
      </c>
      <c r="CI28" s="16" t="s">
        <v>138</v>
      </c>
      <c r="CJ28" s="16">
        <v>30000</v>
      </c>
      <c r="CK28" s="16" t="s">
        <v>138</v>
      </c>
      <c r="CL28" s="16">
        <v>25000</v>
      </c>
      <c r="CM28" s="16">
        <v>25000</v>
      </c>
      <c r="CN28" s="16" t="s">
        <v>138</v>
      </c>
      <c r="CO28" s="16" t="s">
        <v>138</v>
      </c>
      <c r="CP28" s="16" t="s">
        <v>138</v>
      </c>
      <c r="CQ28" s="16">
        <v>7200</v>
      </c>
      <c r="CR28" s="16">
        <v>7200</v>
      </c>
      <c r="CS28" s="16" t="s">
        <v>138</v>
      </c>
      <c r="CT28" s="16" t="s">
        <v>138</v>
      </c>
      <c r="CU28" s="16">
        <v>7200</v>
      </c>
      <c r="CV28" s="16">
        <v>7200</v>
      </c>
      <c r="CW28" s="16" t="s">
        <v>138</v>
      </c>
    </row>
    <row r="29" spans="1:101" s="24" customFormat="1" x14ac:dyDescent="0.25">
      <c r="A29" s="13">
        <v>66</v>
      </c>
      <c r="B29" s="16" t="s">
        <v>138</v>
      </c>
      <c r="C29" s="16">
        <v>66000</v>
      </c>
      <c r="D29" s="16">
        <v>7200</v>
      </c>
      <c r="E29" s="16">
        <v>15000</v>
      </c>
      <c r="F29" s="16">
        <v>26000</v>
      </c>
      <c r="G29" s="16">
        <v>26000</v>
      </c>
      <c r="H29" s="16">
        <v>66000</v>
      </c>
      <c r="I29" s="16">
        <v>7200</v>
      </c>
      <c r="J29" s="16">
        <v>66000</v>
      </c>
      <c r="K29" s="16">
        <v>19000</v>
      </c>
      <c r="L29" s="16">
        <v>30000</v>
      </c>
      <c r="M29" s="16" t="s">
        <v>138</v>
      </c>
      <c r="N29" s="16" t="s">
        <v>138</v>
      </c>
      <c r="O29" s="16">
        <v>15000</v>
      </c>
      <c r="P29" s="16" t="s">
        <v>138</v>
      </c>
      <c r="Q29" s="16">
        <v>30000</v>
      </c>
      <c r="R29" s="16">
        <v>19000</v>
      </c>
      <c r="S29" s="16">
        <v>26000</v>
      </c>
      <c r="T29" s="16">
        <v>26000</v>
      </c>
      <c r="U29" s="16">
        <v>7200</v>
      </c>
      <c r="V29" s="16">
        <v>4761.9047619047615</v>
      </c>
      <c r="W29" s="16">
        <v>66000</v>
      </c>
      <c r="X29" s="16" t="s">
        <v>138</v>
      </c>
      <c r="Y29" s="16" t="s">
        <v>138</v>
      </c>
      <c r="Z29" s="16" t="s">
        <v>138</v>
      </c>
      <c r="AA29" s="16">
        <v>19000</v>
      </c>
      <c r="AB29" s="16">
        <v>15000</v>
      </c>
      <c r="AC29" s="16" t="s">
        <v>138</v>
      </c>
      <c r="AD29" s="16" t="s">
        <v>138</v>
      </c>
      <c r="AE29" s="16">
        <v>15000</v>
      </c>
      <c r="AF29" s="16" t="s">
        <v>138</v>
      </c>
      <c r="AG29" s="16" t="s">
        <v>138</v>
      </c>
      <c r="AH29" s="16" t="s">
        <v>138</v>
      </c>
      <c r="AI29" s="16" t="s">
        <v>138</v>
      </c>
      <c r="AJ29" s="16" t="s">
        <v>138</v>
      </c>
      <c r="AK29" s="16" t="s">
        <v>138</v>
      </c>
      <c r="AL29" s="16">
        <v>26000</v>
      </c>
      <c r="AM29" s="16">
        <v>26000</v>
      </c>
      <c r="AN29" s="16" t="s">
        <v>138</v>
      </c>
      <c r="AO29" s="16" t="s">
        <v>138</v>
      </c>
      <c r="AP29" s="16">
        <v>26000</v>
      </c>
      <c r="AQ29" s="16">
        <v>26000</v>
      </c>
      <c r="AR29" s="16" t="s">
        <v>138</v>
      </c>
      <c r="AS29" s="16">
        <v>4761.9047619047615</v>
      </c>
      <c r="AT29" s="16">
        <v>66000</v>
      </c>
      <c r="AU29" s="16" t="s">
        <v>138</v>
      </c>
      <c r="AV29" s="16" t="s">
        <v>138</v>
      </c>
      <c r="AW29" s="16">
        <v>26000</v>
      </c>
      <c r="AX29" s="16" t="s">
        <v>138</v>
      </c>
      <c r="AY29" s="16">
        <v>30000</v>
      </c>
      <c r="AZ29" s="16">
        <v>25000</v>
      </c>
      <c r="BA29" s="16" t="s">
        <v>138</v>
      </c>
      <c r="BB29" s="16">
        <v>7200</v>
      </c>
      <c r="BC29" s="16">
        <v>15000</v>
      </c>
      <c r="BD29" s="16">
        <v>66000</v>
      </c>
      <c r="BE29" s="16">
        <v>26000</v>
      </c>
      <c r="BF29" s="16" t="s">
        <v>138</v>
      </c>
      <c r="BG29" s="16">
        <v>7200</v>
      </c>
      <c r="BH29" s="16">
        <v>66000</v>
      </c>
      <c r="BI29" s="16" t="s">
        <v>138</v>
      </c>
      <c r="BJ29" s="16">
        <v>15000</v>
      </c>
      <c r="BK29" s="16" t="s">
        <v>138</v>
      </c>
      <c r="BL29" s="16">
        <v>66000</v>
      </c>
      <c r="BM29" s="16">
        <v>26000</v>
      </c>
      <c r="BN29" s="16">
        <v>15000</v>
      </c>
      <c r="BO29" s="16" t="s">
        <v>138</v>
      </c>
      <c r="BP29" s="16">
        <v>26000</v>
      </c>
      <c r="BQ29" s="16">
        <v>26000</v>
      </c>
      <c r="BR29" s="16">
        <v>7200</v>
      </c>
      <c r="BS29" s="16" t="s">
        <v>138</v>
      </c>
      <c r="BT29" s="16" t="s">
        <v>138</v>
      </c>
      <c r="BU29" s="16">
        <v>15000</v>
      </c>
      <c r="BV29" s="16">
        <v>66000</v>
      </c>
      <c r="BW29" s="16" t="s">
        <v>138</v>
      </c>
      <c r="BX29" s="16">
        <v>7200</v>
      </c>
      <c r="BY29" s="16">
        <v>7200</v>
      </c>
      <c r="BZ29" s="16">
        <v>15000</v>
      </c>
      <c r="CA29" s="16">
        <v>7200</v>
      </c>
      <c r="CB29" s="16">
        <v>26000</v>
      </c>
      <c r="CC29" s="16">
        <v>7200</v>
      </c>
      <c r="CD29" s="16" t="s">
        <v>138</v>
      </c>
      <c r="CE29" s="16" t="s">
        <v>138</v>
      </c>
      <c r="CF29" s="16" t="s">
        <v>138</v>
      </c>
      <c r="CG29" s="16">
        <v>26000</v>
      </c>
      <c r="CH29" s="16" t="s">
        <v>138</v>
      </c>
      <c r="CI29" s="16" t="s">
        <v>138</v>
      </c>
      <c r="CJ29" s="16" t="s">
        <v>138</v>
      </c>
      <c r="CK29" s="16" t="s">
        <v>138</v>
      </c>
      <c r="CL29" s="16">
        <v>26000</v>
      </c>
      <c r="CM29" s="16">
        <v>26000</v>
      </c>
      <c r="CN29" s="16">
        <v>7200</v>
      </c>
      <c r="CO29" s="16" t="s">
        <v>138</v>
      </c>
      <c r="CP29" s="16" t="s">
        <v>138</v>
      </c>
      <c r="CQ29" s="16">
        <v>7200</v>
      </c>
      <c r="CR29" s="16">
        <v>7200</v>
      </c>
      <c r="CS29" s="16" t="s">
        <v>138</v>
      </c>
      <c r="CT29" s="16" t="s">
        <v>138</v>
      </c>
      <c r="CU29" s="16">
        <v>7200</v>
      </c>
      <c r="CV29" s="16">
        <v>7200</v>
      </c>
      <c r="CW29" s="16" t="s">
        <v>138</v>
      </c>
    </row>
    <row r="30" spans="1:101" s="24" customFormat="1" x14ac:dyDescent="0.25">
      <c r="A30" s="13">
        <v>67</v>
      </c>
      <c r="B30" s="16">
        <v>19000</v>
      </c>
      <c r="C30" s="16">
        <v>67000</v>
      </c>
      <c r="D30" s="16">
        <v>7200</v>
      </c>
      <c r="E30" s="16" t="s">
        <v>138</v>
      </c>
      <c r="F30" s="16">
        <v>27000</v>
      </c>
      <c r="G30" s="16">
        <v>27000</v>
      </c>
      <c r="H30" s="16">
        <v>67000</v>
      </c>
      <c r="I30" s="16">
        <v>7200</v>
      </c>
      <c r="J30" s="16">
        <v>67000</v>
      </c>
      <c r="K30" s="16">
        <v>19000</v>
      </c>
      <c r="L30" s="16" t="s">
        <v>138</v>
      </c>
      <c r="M30" s="16" t="s">
        <v>138</v>
      </c>
      <c r="N30" s="16" t="s">
        <v>138</v>
      </c>
      <c r="O30" s="16">
        <v>15000</v>
      </c>
      <c r="P30" s="16">
        <v>12500</v>
      </c>
      <c r="Q30" s="16" t="s">
        <v>138</v>
      </c>
      <c r="R30" s="16">
        <v>19000</v>
      </c>
      <c r="S30" s="16">
        <v>27000</v>
      </c>
      <c r="T30" s="16">
        <v>27000</v>
      </c>
      <c r="U30" s="16">
        <v>7200</v>
      </c>
      <c r="V30" s="16">
        <v>4761.9047619047615</v>
      </c>
      <c r="W30" s="16">
        <v>67000</v>
      </c>
      <c r="X30" s="16" t="s">
        <v>138</v>
      </c>
      <c r="Y30" s="16" t="s">
        <v>138</v>
      </c>
      <c r="Z30" s="16" t="s">
        <v>138</v>
      </c>
      <c r="AA30" s="16">
        <v>19000</v>
      </c>
      <c r="AB30" s="16">
        <v>15000</v>
      </c>
      <c r="AC30" s="16" t="s">
        <v>138</v>
      </c>
      <c r="AD30" s="16" t="s">
        <v>138</v>
      </c>
      <c r="AE30" s="16">
        <v>15000</v>
      </c>
      <c r="AF30" s="16" t="s">
        <v>138</v>
      </c>
      <c r="AG30" s="16" t="s">
        <v>138</v>
      </c>
      <c r="AH30" s="16" t="s">
        <v>138</v>
      </c>
      <c r="AI30" s="16" t="s">
        <v>138</v>
      </c>
      <c r="AJ30" s="16" t="s">
        <v>138</v>
      </c>
      <c r="AK30" s="16" t="s">
        <v>138</v>
      </c>
      <c r="AL30" s="16">
        <v>27000</v>
      </c>
      <c r="AM30" s="16">
        <v>27000</v>
      </c>
      <c r="AN30" s="16" t="s">
        <v>138</v>
      </c>
      <c r="AO30" s="16" t="s">
        <v>138</v>
      </c>
      <c r="AP30" s="16">
        <v>27000</v>
      </c>
      <c r="AQ30" s="16">
        <v>27000</v>
      </c>
      <c r="AR30" s="16" t="s">
        <v>138</v>
      </c>
      <c r="AS30" s="16">
        <v>4761.9047619047615</v>
      </c>
      <c r="AT30" s="16">
        <v>67000</v>
      </c>
      <c r="AU30" s="16">
        <v>30000</v>
      </c>
      <c r="AV30" s="16" t="s">
        <v>138</v>
      </c>
      <c r="AW30" s="16">
        <v>27000</v>
      </c>
      <c r="AX30" s="16" t="s">
        <v>138</v>
      </c>
      <c r="AY30" s="16" t="s">
        <v>138</v>
      </c>
      <c r="AZ30" s="16">
        <v>25000</v>
      </c>
      <c r="BA30" s="16" t="s">
        <v>138</v>
      </c>
      <c r="BB30" s="16">
        <v>7200</v>
      </c>
      <c r="BC30" s="16">
        <v>15000</v>
      </c>
      <c r="BD30" s="16">
        <v>67000</v>
      </c>
      <c r="BE30" s="16">
        <v>27000</v>
      </c>
      <c r="BF30" s="16" t="s">
        <v>138</v>
      </c>
      <c r="BG30" s="16">
        <v>7200</v>
      </c>
      <c r="BH30" s="16">
        <v>67000</v>
      </c>
      <c r="BI30" s="16" t="s">
        <v>138</v>
      </c>
      <c r="BJ30" s="16">
        <v>15000</v>
      </c>
      <c r="BK30" s="16">
        <v>30000</v>
      </c>
      <c r="BL30" s="16">
        <v>67000</v>
      </c>
      <c r="BM30" s="16">
        <v>27000</v>
      </c>
      <c r="BN30" s="16">
        <v>15000</v>
      </c>
      <c r="BO30" s="16" t="s">
        <v>138</v>
      </c>
      <c r="BP30" s="16">
        <v>27000</v>
      </c>
      <c r="BQ30" s="16">
        <v>27000</v>
      </c>
      <c r="BR30" s="16">
        <v>7200</v>
      </c>
      <c r="BS30" s="16" t="s">
        <v>138</v>
      </c>
      <c r="BT30" s="16" t="s">
        <v>138</v>
      </c>
      <c r="BU30" s="16">
        <v>15000</v>
      </c>
      <c r="BV30" s="16">
        <v>67000</v>
      </c>
      <c r="BW30" s="16" t="s">
        <v>138</v>
      </c>
      <c r="BX30" s="16">
        <v>7200</v>
      </c>
      <c r="BY30" s="16">
        <v>7200</v>
      </c>
      <c r="BZ30" s="16">
        <v>15000</v>
      </c>
      <c r="CA30" s="16">
        <v>7200</v>
      </c>
      <c r="CB30" s="16">
        <v>27000</v>
      </c>
      <c r="CC30" s="16">
        <v>7200</v>
      </c>
      <c r="CD30" s="16" t="s">
        <v>138</v>
      </c>
      <c r="CE30" s="16" t="s">
        <v>138</v>
      </c>
      <c r="CF30" s="16" t="s">
        <v>138</v>
      </c>
      <c r="CG30" s="16">
        <v>27000</v>
      </c>
      <c r="CH30" s="16" t="s">
        <v>138</v>
      </c>
      <c r="CI30" s="16" t="s">
        <v>138</v>
      </c>
      <c r="CJ30" s="16">
        <v>30000</v>
      </c>
      <c r="CK30" s="16" t="s">
        <v>138</v>
      </c>
      <c r="CL30" s="16">
        <v>27000</v>
      </c>
      <c r="CM30" s="16">
        <v>27000</v>
      </c>
      <c r="CN30" s="16">
        <v>7200</v>
      </c>
      <c r="CO30" s="16" t="s">
        <v>138</v>
      </c>
      <c r="CP30" s="16" t="s">
        <v>138</v>
      </c>
      <c r="CQ30" s="16">
        <v>7200</v>
      </c>
      <c r="CR30" s="16">
        <v>7200</v>
      </c>
      <c r="CS30" s="16" t="s">
        <v>138</v>
      </c>
      <c r="CT30" s="16" t="s">
        <v>138</v>
      </c>
      <c r="CU30" s="16">
        <v>7200</v>
      </c>
      <c r="CV30" s="16">
        <v>7200</v>
      </c>
      <c r="CW30" s="16" t="s">
        <v>138</v>
      </c>
    </row>
    <row r="31" spans="1:101" s="24" customFormat="1" x14ac:dyDescent="0.25">
      <c r="A31" s="13">
        <v>68</v>
      </c>
      <c r="B31" s="16">
        <v>19000</v>
      </c>
      <c r="C31" s="16">
        <v>68000</v>
      </c>
      <c r="D31" s="16">
        <v>7200</v>
      </c>
      <c r="E31" s="16" t="s">
        <v>138</v>
      </c>
      <c r="F31" s="16">
        <v>28000</v>
      </c>
      <c r="G31" s="16">
        <v>28000</v>
      </c>
      <c r="H31" s="16">
        <v>68000</v>
      </c>
      <c r="I31" s="16">
        <v>7200</v>
      </c>
      <c r="J31" s="16">
        <v>68000</v>
      </c>
      <c r="K31" s="16">
        <v>19000</v>
      </c>
      <c r="L31" s="16">
        <v>30000</v>
      </c>
      <c r="M31" s="16">
        <v>15000</v>
      </c>
      <c r="N31" s="16" t="s">
        <v>138</v>
      </c>
      <c r="O31" s="16">
        <v>15000</v>
      </c>
      <c r="P31" s="16">
        <v>12500</v>
      </c>
      <c r="Q31" s="16">
        <v>30000</v>
      </c>
      <c r="R31" s="16">
        <v>19000</v>
      </c>
      <c r="S31" s="16">
        <v>28000</v>
      </c>
      <c r="T31" s="16">
        <v>28000</v>
      </c>
      <c r="U31" s="16">
        <v>7200</v>
      </c>
      <c r="V31" s="16">
        <v>4761.9047619047615</v>
      </c>
      <c r="W31" s="16">
        <v>68000</v>
      </c>
      <c r="X31" s="16" t="s">
        <v>138</v>
      </c>
      <c r="Y31" s="16" t="s">
        <v>138</v>
      </c>
      <c r="Z31" s="16" t="s">
        <v>138</v>
      </c>
      <c r="AA31" s="16">
        <v>19000</v>
      </c>
      <c r="AB31" s="16">
        <v>15000</v>
      </c>
      <c r="AC31" s="16" t="s">
        <v>138</v>
      </c>
      <c r="AD31" s="16" t="s">
        <v>138</v>
      </c>
      <c r="AE31" s="16">
        <v>15000</v>
      </c>
      <c r="AF31" s="16" t="s">
        <v>138</v>
      </c>
      <c r="AG31" s="16" t="s">
        <v>138</v>
      </c>
      <c r="AH31" s="16" t="s">
        <v>138</v>
      </c>
      <c r="AI31" s="16" t="s">
        <v>138</v>
      </c>
      <c r="AJ31" s="16" t="s">
        <v>138</v>
      </c>
      <c r="AK31" s="16" t="s">
        <v>138</v>
      </c>
      <c r="AL31" s="16">
        <v>28000</v>
      </c>
      <c r="AM31" s="16">
        <v>28000</v>
      </c>
      <c r="AN31" s="16" t="s">
        <v>138</v>
      </c>
      <c r="AO31" s="16" t="s">
        <v>138</v>
      </c>
      <c r="AP31" s="16">
        <v>28000</v>
      </c>
      <c r="AQ31" s="16">
        <v>28000</v>
      </c>
      <c r="AR31" s="16" t="s">
        <v>138</v>
      </c>
      <c r="AS31" s="16">
        <v>4761.9047619047615</v>
      </c>
      <c r="AT31" s="16">
        <v>68000</v>
      </c>
      <c r="AU31" s="16" t="s">
        <v>138</v>
      </c>
      <c r="AV31" s="16" t="s">
        <v>138</v>
      </c>
      <c r="AW31" s="16">
        <v>28000</v>
      </c>
      <c r="AX31" s="16" t="s">
        <v>138</v>
      </c>
      <c r="AY31" s="16">
        <v>30000</v>
      </c>
      <c r="AZ31" s="16">
        <v>25000</v>
      </c>
      <c r="BA31" s="16" t="s">
        <v>138</v>
      </c>
      <c r="BB31" s="16">
        <v>7200</v>
      </c>
      <c r="BC31" s="16" t="s">
        <v>138</v>
      </c>
      <c r="BD31" s="16">
        <v>68000</v>
      </c>
      <c r="BE31" s="16">
        <v>28000</v>
      </c>
      <c r="BF31" s="16" t="s">
        <v>138</v>
      </c>
      <c r="BG31" s="16">
        <v>7200</v>
      </c>
      <c r="BH31" s="16">
        <v>68000</v>
      </c>
      <c r="BI31" s="16" t="s">
        <v>138</v>
      </c>
      <c r="BJ31" s="16">
        <v>15000</v>
      </c>
      <c r="BK31" s="16" t="s">
        <v>138</v>
      </c>
      <c r="BL31" s="16">
        <v>68000</v>
      </c>
      <c r="BM31" s="16">
        <v>28000</v>
      </c>
      <c r="BN31" s="16">
        <v>15000</v>
      </c>
      <c r="BO31" s="16" t="s">
        <v>138</v>
      </c>
      <c r="BP31" s="16">
        <v>28000</v>
      </c>
      <c r="BQ31" s="16">
        <v>28000</v>
      </c>
      <c r="BR31" s="16">
        <v>7200</v>
      </c>
      <c r="BS31" s="16" t="s">
        <v>138</v>
      </c>
      <c r="BT31" s="16" t="s">
        <v>138</v>
      </c>
      <c r="BU31" s="16">
        <v>15000</v>
      </c>
      <c r="BV31" s="16">
        <v>68000</v>
      </c>
      <c r="BW31" s="16" t="s">
        <v>138</v>
      </c>
      <c r="BX31" s="16">
        <v>7200</v>
      </c>
      <c r="BY31" s="16">
        <v>7200</v>
      </c>
      <c r="BZ31" s="16">
        <v>15000</v>
      </c>
      <c r="CA31" s="16">
        <v>7200</v>
      </c>
      <c r="CB31" s="16">
        <v>28000</v>
      </c>
      <c r="CC31" s="16">
        <v>7200</v>
      </c>
      <c r="CD31" s="16">
        <v>30000</v>
      </c>
      <c r="CE31" s="16" t="s">
        <v>138</v>
      </c>
      <c r="CF31" s="16" t="s">
        <v>138</v>
      </c>
      <c r="CG31" s="16">
        <v>28000</v>
      </c>
      <c r="CH31" s="16" t="s">
        <v>138</v>
      </c>
      <c r="CI31" s="16" t="s">
        <v>138</v>
      </c>
      <c r="CJ31" s="16" t="s">
        <v>138</v>
      </c>
      <c r="CK31" s="16" t="s">
        <v>138</v>
      </c>
      <c r="CL31" s="16">
        <v>28000</v>
      </c>
      <c r="CM31" s="16">
        <v>28000</v>
      </c>
      <c r="CN31" s="16">
        <v>7200</v>
      </c>
      <c r="CO31" s="16" t="s">
        <v>138</v>
      </c>
      <c r="CP31" s="16" t="s">
        <v>138</v>
      </c>
      <c r="CQ31" s="16">
        <v>7200</v>
      </c>
      <c r="CR31" s="16">
        <v>7200</v>
      </c>
      <c r="CS31" s="16" t="s">
        <v>138</v>
      </c>
      <c r="CT31" s="16" t="s">
        <v>138</v>
      </c>
      <c r="CU31" s="16">
        <v>7200</v>
      </c>
      <c r="CV31" s="16">
        <v>7200</v>
      </c>
      <c r="CW31" s="16" t="s">
        <v>138</v>
      </c>
    </row>
    <row r="32" spans="1:101" s="24" customFormat="1" x14ac:dyDescent="0.25">
      <c r="A32" s="13">
        <v>69</v>
      </c>
      <c r="B32" s="16">
        <v>19000</v>
      </c>
      <c r="C32" s="16">
        <v>69000</v>
      </c>
      <c r="D32" s="16">
        <v>7200</v>
      </c>
      <c r="E32" s="16" t="s">
        <v>138</v>
      </c>
      <c r="F32" s="16">
        <v>29000</v>
      </c>
      <c r="G32" s="16">
        <v>29000</v>
      </c>
      <c r="H32" s="16">
        <v>69000</v>
      </c>
      <c r="I32" s="16">
        <v>7200</v>
      </c>
      <c r="J32" s="16">
        <v>69000</v>
      </c>
      <c r="K32" s="16">
        <v>19000</v>
      </c>
      <c r="L32" s="16" t="s">
        <v>138</v>
      </c>
      <c r="M32" s="16">
        <v>15000</v>
      </c>
      <c r="N32" s="16" t="s">
        <v>138</v>
      </c>
      <c r="O32" s="16">
        <v>15000</v>
      </c>
      <c r="P32" s="16">
        <v>12500</v>
      </c>
      <c r="Q32" s="16" t="s">
        <v>138</v>
      </c>
      <c r="R32" s="16">
        <v>19000</v>
      </c>
      <c r="S32" s="16">
        <v>29000</v>
      </c>
      <c r="T32" s="16">
        <v>29000</v>
      </c>
      <c r="U32" s="16">
        <v>7200</v>
      </c>
      <c r="V32" s="16">
        <v>4761.9047619047615</v>
      </c>
      <c r="W32" s="16">
        <v>69000</v>
      </c>
      <c r="X32" s="16" t="s">
        <v>138</v>
      </c>
      <c r="Y32" s="16" t="s">
        <v>138</v>
      </c>
      <c r="Z32" s="16" t="s">
        <v>138</v>
      </c>
      <c r="AA32" s="16">
        <v>19000</v>
      </c>
      <c r="AB32" s="16">
        <v>15000</v>
      </c>
      <c r="AC32" s="16" t="s">
        <v>138</v>
      </c>
      <c r="AD32" s="16" t="s">
        <v>138</v>
      </c>
      <c r="AE32" s="16">
        <v>15000</v>
      </c>
      <c r="AF32" s="16" t="s">
        <v>138</v>
      </c>
      <c r="AG32" s="16">
        <v>15000</v>
      </c>
      <c r="AH32" s="16" t="s">
        <v>138</v>
      </c>
      <c r="AI32" s="16" t="s">
        <v>138</v>
      </c>
      <c r="AJ32" s="16">
        <v>15000</v>
      </c>
      <c r="AK32" s="16">
        <v>15000</v>
      </c>
      <c r="AL32" s="16">
        <v>29000</v>
      </c>
      <c r="AM32" s="16">
        <v>29000</v>
      </c>
      <c r="AN32" s="16" t="s">
        <v>138</v>
      </c>
      <c r="AO32" s="16" t="s">
        <v>138</v>
      </c>
      <c r="AP32" s="16">
        <v>29000</v>
      </c>
      <c r="AQ32" s="16">
        <v>29000</v>
      </c>
      <c r="AR32" s="16" t="s">
        <v>138</v>
      </c>
      <c r="AS32" s="16">
        <v>4761.9047619047615</v>
      </c>
      <c r="AT32" s="16">
        <v>69000</v>
      </c>
      <c r="AU32" s="16">
        <v>30000</v>
      </c>
      <c r="AV32" s="16" t="s">
        <v>138</v>
      </c>
      <c r="AW32" s="16">
        <v>29000</v>
      </c>
      <c r="AX32" s="16" t="s">
        <v>138</v>
      </c>
      <c r="AY32" s="16" t="s">
        <v>138</v>
      </c>
      <c r="AZ32" s="16">
        <v>25000</v>
      </c>
      <c r="BA32" s="16" t="s">
        <v>138</v>
      </c>
      <c r="BB32" s="16">
        <v>7200</v>
      </c>
      <c r="BC32" s="16" t="s">
        <v>138</v>
      </c>
      <c r="BD32" s="16">
        <v>69000</v>
      </c>
      <c r="BE32" s="16">
        <v>29000</v>
      </c>
      <c r="BF32" s="16" t="s">
        <v>138</v>
      </c>
      <c r="BG32" s="16">
        <v>7200</v>
      </c>
      <c r="BH32" s="16">
        <v>69000</v>
      </c>
      <c r="BI32" s="16" t="s">
        <v>138</v>
      </c>
      <c r="BJ32" s="16">
        <v>15000</v>
      </c>
      <c r="BK32" s="16">
        <v>30000</v>
      </c>
      <c r="BL32" s="16">
        <v>69000</v>
      </c>
      <c r="BM32" s="16">
        <v>29000</v>
      </c>
      <c r="BN32" s="16">
        <v>15000</v>
      </c>
      <c r="BO32" s="16" t="s">
        <v>138</v>
      </c>
      <c r="BP32" s="16">
        <v>29000</v>
      </c>
      <c r="BQ32" s="16">
        <v>29000</v>
      </c>
      <c r="BR32" s="16">
        <v>7200</v>
      </c>
      <c r="BS32" s="16" t="s">
        <v>138</v>
      </c>
      <c r="BT32" s="16" t="s">
        <v>138</v>
      </c>
      <c r="BU32" s="16">
        <v>15000</v>
      </c>
      <c r="BV32" s="16">
        <v>69000</v>
      </c>
      <c r="BW32" s="16" t="s">
        <v>138</v>
      </c>
      <c r="BX32" s="16">
        <v>7200</v>
      </c>
      <c r="BY32" s="16">
        <v>7200</v>
      </c>
      <c r="BZ32" s="16">
        <v>15000</v>
      </c>
      <c r="CA32" s="16">
        <v>7200</v>
      </c>
      <c r="CB32" s="16">
        <v>29000</v>
      </c>
      <c r="CC32" s="16">
        <v>7200</v>
      </c>
      <c r="CD32" s="16" t="s">
        <v>138</v>
      </c>
      <c r="CE32" s="16" t="s">
        <v>138</v>
      </c>
      <c r="CF32" s="16" t="s">
        <v>138</v>
      </c>
      <c r="CG32" s="16">
        <v>29000</v>
      </c>
      <c r="CH32" s="16" t="s">
        <v>138</v>
      </c>
      <c r="CI32" s="16" t="s">
        <v>138</v>
      </c>
      <c r="CJ32" s="16">
        <v>30000</v>
      </c>
      <c r="CK32" s="16" t="s">
        <v>138</v>
      </c>
      <c r="CL32" s="16">
        <v>29000</v>
      </c>
      <c r="CM32" s="16">
        <v>29000</v>
      </c>
      <c r="CN32" s="16">
        <v>7200</v>
      </c>
      <c r="CO32" s="16" t="s">
        <v>138</v>
      </c>
      <c r="CP32" s="16">
        <v>30000</v>
      </c>
      <c r="CQ32" s="16">
        <v>7200</v>
      </c>
      <c r="CR32" s="16">
        <v>7200</v>
      </c>
      <c r="CS32" s="16">
        <v>7200</v>
      </c>
      <c r="CT32" s="16" t="s">
        <v>138</v>
      </c>
      <c r="CU32" s="16">
        <v>7200</v>
      </c>
      <c r="CV32" s="16">
        <v>7200</v>
      </c>
      <c r="CW32" s="16" t="s">
        <v>138</v>
      </c>
    </row>
    <row r="33" spans="1:101" s="24" customFormat="1" x14ac:dyDescent="0.25">
      <c r="A33" s="13">
        <v>70</v>
      </c>
      <c r="B33" s="16">
        <v>19000</v>
      </c>
      <c r="C33" s="16">
        <v>70000</v>
      </c>
      <c r="D33" s="16">
        <v>7200</v>
      </c>
      <c r="E33" s="16" t="s">
        <v>138</v>
      </c>
      <c r="F33" s="16">
        <v>30000</v>
      </c>
      <c r="G33" s="16">
        <v>30000</v>
      </c>
      <c r="H33" s="16">
        <v>70000</v>
      </c>
      <c r="I33" s="16">
        <v>7200</v>
      </c>
      <c r="J33" s="16">
        <v>70000</v>
      </c>
      <c r="K33" s="16">
        <v>19000</v>
      </c>
      <c r="L33" s="16">
        <v>30000</v>
      </c>
      <c r="M33" s="16">
        <v>15000</v>
      </c>
      <c r="N33" s="16" t="s">
        <v>138</v>
      </c>
      <c r="O33" s="16">
        <v>15000</v>
      </c>
      <c r="P33" s="16">
        <v>12500</v>
      </c>
      <c r="Q33" s="16" t="s">
        <v>138</v>
      </c>
      <c r="R33" s="16">
        <v>19000</v>
      </c>
      <c r="S33" s="16">
        <v>30000</v>
      </c>
      <c r="T33" s="16">
        <v>30000</v>
      </c>
      <c r="U33" s="16">
        <v>7200</v>
      </c>
      <c r="V33" s="16">
        <v>4761.9047619047615</v>
      </c>
      <c r="W33" s="16">
        <v>70000</v>
      </c>
      <c r="X33" s="16" t="s">
        <v>138</v>
      </c>
      <c r="Y33" s="16" t="s">
        <v>138</v>
      </c>
      <c r="Z33" s="16" t="s">
        <v>138</v>
      </c>
      <c r="AA33" s="16">
        <v>19000</v>
      </c>
      <c r="AB33" s="16">
        <v>15000</v>
      </c>
      <c r="AC33" s="16" t="s">
        <v>138</v>
      </c>
      <c r="AD33" s="16" t="s">
        <v>138</v>
      </c>
      <c r="AE33" s="16">
        <v>15000</v>
      </c>
      <c r="AF33" s="16" t="s">
        <v>138</v>
      </c>
      <c r="AG33" s="16">
        <v>15000</v>
      </c>
      <c r="AH33" s="16" t="s">
        <v>138</v>
      </c>
      <c r="AI33" s="16" t="s">
        <v>138</v>
      </c>
      <c r="AJ33" s="16">
        <v>15000</v>
      </c>
      <c r="AK33" s="16">
        <v>15000</v>
      </c>
      <c r="AL33" s="16">
        <v>30000</v>
      </c>
      <c r="AM33" s="16">
        <v>30000</v>
      </c>
      <c r="AN33" s="16" t="s">
        <v>138</v>
      </c>
      <c r="AO33" s="16" t="s">
        <v>138</v>
      </c>
      <c r="AP33" s="16">
        <v>30000</v>
      </c>
      <c r="AQ33" s="16">
        <v>30000</v>
      </c>
      <c r="AR33" s="16" t="s">
        <v>138</v>
      </c>
      <c r="AS33" s="16">
        <v>4761.9047619047615</v>
      </c>
      <c r="AT33" s="16">
        <v>70000</v>
      </c>
      <c r="AU33" s="16" t="s">
        <v>138</v>
      </c>
      <c r="AV33" s="16" t="s">
        <v>138</v>
      </c>
      <c r="AW33" s="16">
        <v>30000</v>
      </c>
      <c r="AX33" s="16" t="s">
        <v>138</v>
      </c>
      <c r="AY33" s="16">
        <v>30000</v>
      </c>
      <c r="AZ33" s="16">
        <v>25000</v>
      </c>
      <c r="BA33" s="16" t="s">
        <v>138</v>
      </c>
      <c r="BB33" s="16">
        <v>7200</v>
      </c>
      <c r="BC33" s="16" t="s">
        <v>138</v>
      </c>
      <c r="BD33" s="16">
        <v>70000</v>
      </c>
      <c r="BE33" s="16">
        <v>30000</v>
      </c>
      <c r="BF33" s="16" t="s">
        <v>138</v>
      </c>
      <c r="BG33" s="16">
        <v>7200</v>
      </c>
      <c r="BH33" s="16">
        <v>70000</v>
      </c>
      <c r="BI33" s="16" t="s">
        <v>138</v>
      </c>
      <c r="BJ33" s="16">
        <v>15000</v>
      </c>
      <c r="BK33" s="16" t="s">
        <v>138</v>
      </c>
      <c r="BL33" s="16">
        <v>70000</v>
      </c>
      <c r="BM33" s="16">
        <v>30000</v>
      </c>
      <c r="BN33" s="16">
        <v>15000</v>
      </c>
      <c r="BO33" s="16" t="s">
        <v>138</v>
      </c>
      <c r="BP33" s="16">
        <v>30000</v>
      </c>
      <c r="BQ33" s="16">
        <v>30000</v>
      </c>
      <c r="BR33" s="16">
        <v>7200</v>
      </c>
      <c r="BS33" s="16" t="s">
        <v>138</v>
      </c>
      <c r="BT33" s="16" t="s">
        <v>138</v>
      </c>
      <c r="BU33" s="16">
        <v>15000</v>
      </c>
      <c r="BV33" s="16">
        <v>70000</v>
      </c>
      <c r="BW33" s="16" t="s">
        <v>138</v>
      </c>
      <c r="BX33" s="16">
        <v>7200</v>
      </c>
      <c r="BY33" s="16">
        <v>7200</v>
      </c>
      <c r="BZ33" s="16">
        <v>15000</v>
      </c>
      <c r="CA33" s="16">
        <v>7200</v>
      </c>
      <c r="CB33" s="16">
        <v>30000</v>
      </c>
      <c r="CC33" s="16">
        <v>7200</v>
      </c>
      <c r="CD33" s="16">
        <v>30000</v>
      </c>
      <c r="CE33" s="16">
        <v>7200</v>
      </c>
      <c r="CF33" s="16" t="s">
        <v>138</v>
      </c>
      <c r="CG33" s="16">
        <v>30000</v>
      </c>
      <c r="CH33" s="16" t="s">
        <v>138</v>
      </c>
      <c r="CI33" s="16" t="s">
        <v>138</v>
      </c>
      <c r="CJ33" s="16" t="s">
        <v>138</v>
      </c>
      <c r="CK33" s="16" t="s">
        <v>138</v>
      </c>
      <c r="CL33" s="16">
        <v>30000</v>
      </c>
      <c r="CM33" s="16">
        <v>30000</v>
      </c>
      <c r="CN33" s="16">
        <v>7200</v>
      </c>
      <c r="CO33" s="16" t="s">
        <v>138</v>
      </c>
      <c r="CP33" s="16" t="s">
        <v>138</v>
      </c>
      <c r="CQ33" s="16">
        <v>7200</v>
      </c>
      <c r="CR33" s="16">
        <v>7200</v>
      </c>
      <c r="CS33" s="16">
        <v>7200</v>
      </c>
      <c r="CT33" s="16" t="s">
        <v>138</v>
      </c>
      <c r="CU33" s="16">
        <v>7200</v>
      </c>
      <c r="CV33" s="16">
        <v>7200</v>
      </c>
      <c r="CW33" s="16">
        <v>7200</v>
      </c>
    </row>
    <row r="34" spans="1:101" s="24" customFormat="1" x14ac:dyDescent="0.25">
      <c r="A34" s="13">
        <v>71</v>
      </c>
      <c r="B34" s="16">
        <v>19000</v>
      </c>
      <c r="C34" s="16">
        <v>71000</v>
      </c>
      <c r="D34" s="16">
        <v>7200</v>
      </c>
      <c r="E34" s="16" t="s">
        <v>138</v>
      </c>
      <c r="F34" s="16">
        <v>31000</v>
      </c>
      <c r="G34" s="16">
        <v>31000</v>
      </c>
      <c r="H34" s="16">
        <v>71000</v>
      </c>
      <c r="I34" s="16">
        <v>7200</v>
      </c>
      <c r="J34" s="16">
        <v>71000</v>
      </c>
      <c r="K34" s="16">
        <v>19000</v>
      </c>
      <c r="L34" s="16" t="s">
        <v>138</v>
      </c>
      <c r="M34" s="16">
        <v>15000</v>
      </c>
      <c r="N34" s="16" t="s">
        <v>138</v>
      </c>
      <c r="O34" s="16">
        <v>15000</v>
      </c>
      <c r="P34" s="16">
        <v>12500</v>
      </c>
      <c r="Q34" s="16" t="s">
        <v>138</v>
      </c>
      <c r="R34" s="16">
        <v>19000</v>
      </c>
      <c r="S34" s="16">
        <v>31000</v>
      </c>
      <c r="T34" s="16">
        <v>31000</v>
      </c>
      <c r="U34" s="16">
        <v>7200</v>
      </c>
      <c r="V34" s="16">
        <v>4761.9047619047615</v>
      </c>
      <c r="W34" s="16">
        <v>71000</v>
      </c>
      <c r="X34" s="16" t="s">
        <v>138</v>
      </c>
      <c r="Y34" s="16" t="s">
        <v>138</v>
      </c>
      <c r="Z34" s="16" t="s">
        <v>138</v>
      </c>
      <c r="AA34" s="16">
        <v>25000</v>
      </c>
      <c r="AB34" s="16">
        <v>15000</v>
      </c>
      <c r="AC34" s="16">
        <v>7200</v>
      </c>
      <c r="AD34" s="16" t="s">
        <v>138</v>
      </c>
      <c r="AE34" s="16">
        <v>15000</v>
      </c>
      <c r="AF34" s="16" t="s">
        <v>138</v>
      </c>
      <c r="AG34" s="16">
        <v>15000</v>
      </c>
      <c r="AH34" s="16" t="s">
        <v>138</v>
      </c>
      <c r="AI34" s="16" t="s">
        <v>138</v>
      </c>
      <c r="AJ34" s="16">
        <v>15000</v>
      </c>
      <c r="AK34" s="16">
        <v>15000</v>
      </c>
      <c r="AL34" s="16">
        <v>31000</v>
      </c>
      <c r="AM34" s="16">
        <v>31000</v>
      </c>
      <c r="AN34" s="16" t="s">
        <v>138</v>
      </c>
      <c r="AO34" s="16" t="s">
        <v>138</v>
      </c>
      <c r="AP34" s="16">
        <v>31000</v>
      </c>
      <c r="AQ34" s="16">
        <v>31000</v>
      </c>
      <c r="AR34" s="16" t="s">
        <v>138</v>
      </c>
      <c r="AS34" s="16">
        <v>4761.9047619047615</v>
      </c>
      <c r="AT34" s="16">
        <v>71000</v>
      </c>
      <c r="AU34" s="16">
        <v>30000</v>
      </c>
      <c r="AV34" s="16" t="s">
        <v>138</v>
      </c>
      <c r="AW34" s="16">
        <v>31000</v>
      </c>
      <c r="AX34" s="16" t="s">
        <v>138</v>
      </c>
      <c r="AY34" s="16" t="s">
        <v>138</v>
      </c>
      <c r="AZ34" s="16">
        <v>25000</v>
      </c>
      <c r="BA34" s="16" t="s">
        <v>138</v>
      </c>
      <c r="BB34" s="16">
        <v>7200</v>
      </c>
      <c r="BC34" s="16" t="s">
        <v>138</v>
      </c>
      <c r="BD34" s="16">
        <v>71000</v>
      </c>
      <c r="BE34" s="16">
        <v>31000</v>
      </c>
      <c r="BF34" s="16" t="s">
        <v>138</v>
      </c>
      <c r="BG34" s="16">
        <v>7200</v>
      </c>
      <c r="BH34" s="16">
        <v>71000</v>
      </c>
      <c r="BI34" s="16" t="s">
        <v>138</v>
      </c>
      <c r="BJ34" s="16">
        <v>15000</v>
      </c>
      <c r="BK34" s="16">
        <v>30000</v>
      </c>
      <c r="BL34" s="16">
        <v>71000</v>
      </c>
      <c r="BM34" s="16">
        <v>31000</v>
      </c>
      <c r="BN34" s="16">
        <v>15000</v>
      </c>
      <c r="BO34" s="16" t="s">
        <v>138</v>
      </c>
      <c r="BP34" s="16">
        <v>31000</v>
      </c>
      <c r="BQ34" s="16">
        <v>31000</v>
      </c>
      <c r="BR34" s="16">
        <v>7200</v>
      </c>
      <c r="BS34" s="16" t="s">
        <v>138</v>
      </c>
      <c r="BT34" s="16" t="s">
        <v>138</v>
      </c>
      <c r="BU34" s="16">
        <v>15000</v>
      </c>
      <c r="BV34" s="16">
        <v>71000</v>
      </c>
      <c r="BW34" s="16" t="s">
        <v>138</v>
      </c>
      <c r="BX34" s="16">
        <v>7200</v>
      </c>
      <c r="BY34" s="16">
        <v>7200</v>
      </c>
      <c r="BZ34" s="16">
        <v>15000</v>
      </c>
      <c r="CA34" s="16">
        <v>7200</v>
      </c>
      <c r="CB34" s="16">
        <v>31000</v>
      </c>
      <c r="CC34" s="16">
        <v>7200</v>
      </c>
      <c r="CD34" s="16" t="s">
        <v>138</v>
      </c>
      <c r="CE34" s="16">
        <v>7200</v>
      </c>
      <c r="CF34" s="16" t="s">
        <v>138</v>
      </c>
      <c r="CG34" s="16">
        <v>31000</v>
      </c>
      <c r="CH34" s="16" t="s">
        <v>138</v>
      </c>
      <c r="CI34" s="16" t="s">
        <v>138</v>
      </c>
      <c r="CJ34" s="16">
        <v>30000</v>
      </c>
      <c r="CK34" s="16" t="s">
        <v>138</v>
      </c>
      <c r="CL34" s="16">
        <v>31000</v>
      </c>
      <c r="CM34" s="16">
        <v>31000</v>
      </c>
      <c r="CN34" s="16">
        <v>7200</v>
      </c>
      <c r="CO34" s="16" t="s">
        <v>138</v>
      </c>
      <c r="CP34" s="16">
        <v>30000</v>
      </c>
      <c r="CQ34" s="16">
        <v>7200</v>
      </c>
      <c r="CR34" s="16">
        <v>7200</v>
      </c>
      <c r="CS34" s="16">
        <v>7200</v>
      </c>
      <c r="CT34" s="16" t="s">
        <v>138</v>
      </c>
      <c r="CU34" s="16">
        <v>7200</v>
      </c>
      <c r="CV34" s="16">
        <v>7200</v>
      </c>
      <c r="CW34" s="16">
        <v>7200</v>
      </c>
    </row>
    <row r="35" spans="1:101" s="24" customFormat="1" x14ac:dyDescent="0.25">
      <c r="A35" s="13">
        <v>72</v>
      </c>
      <c r="B35" s="16">
        <v>19000</v>
      </c>
      <c r="C35" s="16">
        <v>72000</v>
      </c>
      <c r="D35" s="16">
        <v>7200</v>
      </c>
      <c r="E35" s="16" t="s">
        <v>138</v>
      </c>
      <c r="F35" s="16">
        <v>32000</v>
      </c>
      <c r="G35" s="16">
        <v>32000</v>
      </c>
      <c r="H35" s="16">
        <v>72000</v>
      </c>
      <c r="I35" s="16">
        <v>7200</v>
      </c>
      <c r="J35" s="16">
        <v>72000</v>
      </c>
      <c r="K35" s="16">
        <v>19000</v>
      </c>
      <c r="L35" s="16">
        <v>30000</v>
      </c>
      <c r="M35" s="16">
        <v>15000</v>
      </c>
      <c r="N35" s="16" t="s">
        <v>138</v>
      </c>
      <c r="O35" s="16">
        <v>15000</v>
      </c>
      <c r="P35" s="16">
        <v>12500</v>
      </c>
      <c r="Q35" s="16" t="s">
        <v>138</v>
      </c>
      <c r="R35" s="16">
        <v>25000</v>
      </c>
      <c r="S35" s="16">
        <v>32000</v>
      </c>
      <c r="T35" s="16">
        <v>32000</v>
      </c>
      <c r="U35" s="16">
        <v>7200</v>
      </c>
      <c r="V35" s="16">
        <v>4761.9047619047615</v>
      </c>
      <c r="W35" s="16">
        <v>72000</v>
      </c>
      <c r="X35" s="16" t="s">
        <v>138</v>
      </c>
      <c r="Y35" s="16" t="s">
        <v>138</v>
      </c>
      <c r="Z35" s="16" t="s">
        <v>138</v>
      </c>
      <c r="AA35" s="16">
        <v>25000</v>
      </c>
      <c r="AB35" s="16">
        <v>15000</v>
      </c>
      <c r="AC35" s="16">
        <v>7200</v>
      </c>
      <c r="AD35" s="16" t="s">
        <v>138</v>
      </c>
      <c r="AE35" s="16">
        <v>15000</v>
      </c>
      <c r="AF35" s="16" t="s">
        <v>138</v>
      </c>
      <c r="AG35" s="16">
        <v>15000</v>
      </c>
      <c r="AH35" s="16" t="s">
        <v>138</v>
      </c>
      <c r="AI35" s="16" t="s">
        <v>138</v>
      </c>
      <c r="AJ35" s="16">
        <v>15000</v>
      </c>
      <c r="AK35" s="16">
        <v>15000</v>
      </c>
      <c r="AL35" s="16">
        <v>32000</v>
      </c>
      <c r="AM35" s="16">
        <v>32000</v>
      </c>
      <c r="AN35" s="16">
        <v>7200</v>
      </c>
      <c r="AO35" s="16" t="s">
        <v>138</v>
      </c>
      <c r="AP35" s="16">
        <v>32000</v>
      </c>
      <c r="AQ35" s="16">
        <v>32000</v>
      </c>
      <c r="AR35" s="16" t="s">
        <v>138</v>
      </c>
      <c r="AS35" s="16">
        <v>4761.9047619047615</v>
      </c>
      <c r="AT35" s="16">
        <v>72000</v>
      </c>
      <c r="AU35" s="16" t="s">
        <v>138</v>
      </c>
      <c r="AV35" s="16" t="s">
        <v>138</v>
      </c>
      <c r="AW35" s="16">
        <v>32000</v>
      </c>
      <c r="AX35" s="16" t="s">
        <v>138</v>
      </c>
      <c r="AY35" s="16">
        <v>30000</v>
      </c>
      <c r="AZ35" s="16">
        <v>25000</v>
      </c>
      <c r="BA35" s="16" t="s">
        <v>138</v>
      </c>
      <c r="BB35" s="16">
        <v>7200</v>
      </c>
      <c r="BC35" s="16" t="s">
        <v>138</v>
      </c>
      <c r="BD35" s="16">
        <v>72000</v>
      </c>
      <c r="BE35" s="16">
        <v>32000</v>
      </c>
      <c r="BF35" s="16" t="s">
        <v>138</v>
      </c>
      <c r="BG35" s="16">
        <v>7200</v>
      </c>
      <c r="BH35" s="16">
        <v>72000</v>
      </c>
      <c r="BI35" s="16" t="s">
        <v>138</v>
      </c>
      <c r="BJ35" s="16">
        <v>15000</v>
      </c>
      <c r="BK35" s="16" t="s">
        <v>138</v>
      </c>
      <c r="BL35" s="16">
        <v>72000</v>
      </c>
      <c r="BM35" s="16">
        <v>32000</v>
      </c>
      <c r="BN35" s="16">
        <v>15000</v>
      </c>
      <c r="BO35" s="16" t="s">
        <v>138</v>
      </c>
      <c r="BP35" s="16">
        <v>32000</v>
      </c>
      <c r="BQ35" s="16">
        <v>32000</v>
      </c>
      <c r="BR35" s="16">
        <v>7200</v>
      </c>
      <c r="BS35" s="16" t="s">
        <v>138</v>
      </c>
      <c r="BT35" s="16" t="s">
        <v>138</v>
      </c>
      <c r="BU35" s="16">
        <v>15000</v>
      </c>
      <c r="BV35" s="16">
        <v>72000</v>
      </c>
      <c r="BW35" s="16">
        <v>19000</v>
      </c>
      <c r="BX35" s="16">
        <v>7200</v>
      </c>
      <c r="BY35" s="16">
        <v>7200</v>
      </c>
      <c r="BZ35" s="16">
        <v>15000</v>
      </c>
      <c r="CA35" s="16">
        <v>7200</v>
      </c>
      <c r="CB35" s="16">
        <v>32000</v>
      </c>
      <c r="CC35" s="16">
        <v>7200</v>
      </c>
      <c r="CD35" s="16">
        <v>30000</v>
      </c>
      <c r="CE35" s="16">
        <v>7200</v>
      </c>
      <c r="CF35" s="16" t="s">
        <v>138</v>
      </c>
      <c r="CG35" s="16">
        <v>32000</v>
      </c>
      <c r="CH35" s="16" t="s">
        <v>138</v>
      </c>
      <c r="CI35" s="16" t="s">
        <v>138</v>
      </c>
      <c r="CJ35" s="16" t="s">
        <v>138</v>
      </c>
      <c r="CK35" s="16" t="s">
        <v>138</v>
      </c>
      <c r="CL35" s="16">
        <v>32000</v>
      </c>
      <c r="CM35" s="16">
        <v>32000</v>
      </c>
      <c r="CN35" s="16">
        <v>7200</v>
      </c>
      <c r="CO35" s="16" t="s">
        <v>138</v>
      </c>
      <c r="CP35" s="16" t="s">
        <v>138</v>
      </c>
      <c r="CQ35" s="16">
        <v>7200</v>
      </c>
      <c r="CR35" s="16">
        <v>7200</v>
      </c>
      <c r="CS35" s="16">
        <v>7200</v>
      </c>
      <c r="CT35" s="16" t="s">
        <v>138</v>
      </c>
      <c r="CU35" s="16">
        <v>7200</v>
      </c>
      <c r="CV35" s="16">
        <v>7200</v>
      </c>
      <c r="CW35" s="16">
        <v>7200</v>
      </c>
    </row>
    <row r="36" spans="1:101" s="24" customFormat="1" x14ac:dyDescent="0.25">
      <c r="A36" s="13">
        <v>73</v>
      </c>
      <c r="B36" s="16">
        <v>19000</v>
      </c>
      <c r="C36" s="16">
        <v>73000</v>
      </c>
      <c r="D36" s="16">
        <v>7200</v>
      </c>
      <c r="E36" s="16" t="s">
        <v>138</v>
      </c>
      <c r="F36" s="16">
        <v>33000</v>
      </c>
      <c r="G36" s="16">
        <v>33000</v>
      </c>
      <c r="H36" s="16">
        <v>73000</v>
      </c>
      <c r="I36" s="16">
        <v>7200</v>
      </c>
      <c r="J36" s="16">
        <v>73000</v>
      </c>
      <c r="K36" s="16">
        <v>19000</v>
      </c>
      <c r="L36" s="16" t="s">
        <v>138</v>
      </c>
      <c r="M36" s="16">
        <v>15000</v>
      </c>
      <c r="N36" s="16" t="s">
        <v>138</v>
      </c>
      <c r="O36" s="16">
        <v>15000</v>
      </c>
      <c r="P36" s="16">
        <v>12500</v>
      </c>
      <c r="Q36" s="16" t="s">
        <v>138</v>
      </c>
      <c r="R36" s="16">
        <v>25000</v>
      </c>
      <c r="S36" s="16">
        <v>33000</v>
      </c>
      <c r="T36" s="16">
        <v>33000</v>
      </c>
      <c r="U36" s="16">
        <v>7200</v>
      </c>
      <c r="V36" s="16">
        <v>4761.9047619047615</v>
      </c>
      <c r="W36" s="16">
        <v>73000</v>
      </c>
      <c r="X36" s="16" t="s">
        <v>138</v>
      </c>
      <c r="Y36" s="16" t="s">
        <v>138</v>
      </c>
      <c r="Z36" s="16" t="s">
        <v>138</v>
      </c>
      <c r="AA36" s="16">
        <v>25000</v>
      </c>
      <c r="AB36" s="16">
        <v>15000</v>
      </c>
      <c r="AC36" s="16">
        <v>7200</v>
      </c>
      <c r="AD36" s="16" t="s">
        <v>138</v>
      </c>
      <c r="AE36" s="16">
        <v>15000</v>
      </c>
      <c r="AF36" s="16" t="s">
        <v>138</v>
      </c>
      <c r="AG36" s="16">
        <v>15000</v>
      </c>
      <c r="AH36" s="16" t="s">
        <v>138</v>
      </c>
      <c r="AI36" s="16" t="s">
        <v>138</v>
      </c>
      <c r="AJ36" s="16">
        <v>15000</v>
      </c>
      <c r="AK36" s="16">
        <v>15000</v>
      </c>
      <c r="AL36" s="16">
        <v>33000</v>
      </c>
      <c r="AM36" s="16">
        <v>33000</v>
      </c>
      <c r="AN36" s="16">
        <v>7200</v>
      </c>
      <c r="AO36" s="16" t="s">
        <v>138</v>
      </c>
      <c r="AP36" s="16">
        <v>33000</v>
      </c>
      <c r="AQ36" s="16">
        <v>33000</v>
      </c>
      <c r="AR36" s="16" t="s">
        <v>138</v>
      </c>
      <c r="AS36" s="16" t="s">
        <v>138</v>
      </c>
      <c r="AT36" s="16">
        <v>73000</v>
      </c>
      <c r="AU36" s="16">
        <v>30000</v>
      </c>
      <c r="AV36" s="16" t="s">
        <v>138</v>
      </c>
      <c r="AW36" s="16">
        <v>33000</v>
      </c>
      <c r="AX36" s="16">
        <v>5263.1578947368425</v>
      </c>
      <c r="AY36" s="16" t="s">
        <v>138</v>
      </c>
      <c r="AZ36" s="16">
        <v>25000</v>
      </c>
      <c r="BA36" s="16" t="s">
        <v>138</v>
      </c>
      <c r="BB36" s="16">
        <v>7200</v>
      </c>
      <c r="BC36" s="16" t="s">
        <v>138</v>
      </c>
      <c r="BD36" s="16">
        <v>73000</v>
      </c>
      <c r="BE36" s="16">
        <v>33000</v>
      </c>
      <c r="BF36" s="16" t="s">
        <v>138</v>
      </c>
      <c r="BG36" s="16">
        <v>7200</v>
      </c>
      <c r="BH36" s="16">
        <v>73000</v>
      </c>
      <c r="BI36" s="16" t="s">
        <v>138</v>
      </c>
      <c r="BJ36" s="16">
        <v>15000</v>
      </c>
      <c r="BK36" s="16">
        <v>30000</v>
      </c>
      <c r="BL36" s="16">
        <v>73000</v>
      </c>
      <c r="BM36" s="16">
        <v>33000</v>
      </c>
      <c r="BN36" s="16">
        <v>15000</v>
      </c>
      <c r="BO36" s="16" t="s">
        <v>138</v>
      </c>
      <c r="BP36" s="16">
        <v>33000</v>
      </c>
      <c r="BQ36" s="16">
        <v>33000</v>
      </c>
      <c r="BR36" s="16">
        <v>7200</v>
      </c>
      <c r="BS36" s="16" t="s">
        <v>138</v>
      </c>
      <c r="BT36" s="16" t="s">
        <v>138</v>
      </c>
      <c r="BU36" s="16">
        <v>15000</v>
      </c>
      <c r="BV36" s="16">
        <v>73000</v>
      </c>
      <c r="BW36" s="16">
        <v>19000</v>
      </c>
      <c r="BX36" s="16">
        <v>7200</v>
      </c>
      <c r="BY36" s="16">
        <v>7200</v>
      </c>
      <c r="BZ36" s="16">
        <v>15000</v>
      </c>
      <c r="CA36" s="16">
        <v>7200</v>
      </c>
      <c r="CB36" s="16">
        <v>33000</v>
      </c>
      <c r="CC36" s="16">
        <v>7200</v>
      </c>
      <c r="CD36" s="16" t="s">
        <v>138</v>
      </c>
      <c r="CE36" s="16">
        <v>7200</v>
      </c>
      <c r="CF36" s="16" t="s">
        <v>138</v>
      </c>
      <c r="CG36" s="16">
        <v>33000</v>
      </c>
      <c r="CH36" s="16" t="s">
        <v>138</v>
      </c>
      <c r="CI36" s="16" t="s">
        <v>138</v>
      </c>
      <c r="CJ36" s="16">
        <v>30000</v>
      </c>
      <c r="CK36" s="16">
        <v>15000</v>
      </c>
      <c r="CL36" s="16">
        <v>33000</v>
      </c>
      <c r="CM36" s="16">
        <v>33000</v>
      </c>
      <c r="CN36" s="16">
        <v>7200</v>
      </c>
      <c r="CO36" s="16" t="s">
        <v>138</v>
      </c>
      <c r="CP36" s="16">
        <v>30000</v>
      </c>
      <c r="CQ36" s="16">
        <v>7200</v>
      </c>
      <c r="CR36" s="16">
        <v>7200</v>
      </c>
      <c r="CS36" s="16">
        <v>7200</v>
      </c>
      <c r="CT36" s="16" t="s">
        <v>138</v>
      </c>
      <c r="CU36" s="16">
        <v>7200</v>
      </c>
      <c r="CV36" s="16">
        <v>7200</v>
      </c>
      <c r="CW36" s="16">
        <v>7200</v>
      </c>
    </row>
    <row r="37" spans="1:101" s="24" customFormat="1" x14ac:dyDescent="0.25">
      <c r="A37" s="13">
        <v>74</v>
      </c>
      <c r="B37" s="16">
        <v>19000</v>
      </c>
      <c r="C37" s="16">
        <v>74000</v>
      </c>
      <c r="D37" s="16">
        <v>7200</v>
      </c>
      <c r="E37" s="16" t="s">
        <v>138</v>
      </c>
      <c r="F37" s="16">
        <v>34000</v>
      </c>
      <c r="G37" s="16">
        <v>34000</v>
      </c>
      <c r="H37" s="16">
        <v>74000</v>
      </c>
      <c r="I37" s="16">
        <v>7200</v>
      </c>
      <c r="J37" s="16">
        <v>74000</v>
      </c>
      <c r="K37" s="16">
        <v>25000</v>
      </c>
      <c r="L37" s="16">
        <v>30000</v>
      </c>
      <c r="M37" s="16" t="s">
        <v>138</v>
      </c>
      <c r="N37" s="16" t="s">
        <v>138</v>
      </c>
      <c r="O37" s="16">
        <v>15000</v>
      </c>
      <c r="P37" s="16">
        <v>12500</v>
      </c>
      <c r="Q37" s="16" t="s">
        <v>138</v>
      </c>
      <c r="R37" s="16">
        <v>25000</v>
      </c>
      <c r="S37" s="16">
        <v>34000</v>
      </c>
      <c r="T37" s="16">
        <v>34000</v>
      </c>
      <c r="U37" s="16">
        <v>7200</v>
      </c>
      <c r="V37" s="16">
        <v>4761.9047619047615</v>
      </c>
      <c r="W37" s="16">
        <v>74000</v>
      </c>
      <c r="X37" s="16" t="s">
        <v>138</v>
      </c>
      <c r="Y37" s="16" t="s">
        <v>138</v>
      </c>
      <c r="Z37" s="16" t="s">
        <v>138</v>
      </c>
      <c r="AA37" s="16">
        <v>25000</v>
      </c>
      <c r="AB37" s="16">
        <v>15000</v>
      </c>
      <c r="AC37" s="16">
        <v>7200</v>
      </c>
      <c r="AD37" s="16" t="s">
        <v>138</v>
      </c>
      <c r="AE37" s="16">
        <v>15000</v>
      </c>
      <c r="AF37" s="16" t="s">
        <v>138</v>
      </c>
      <c r="AG37" s="16">
        <v>15000</v>
      </c>
      <c r="AH37" s="16" t="s">
        <v>138</v>
      </c>
      <c r="AI37" s="16" t="s">
        <v>138</v>
      </c>
      <c r="AJ37" s="16">
        <v>15000</v>
      </c>
      <c r="AK37" s="16">
        <v>15000</v>
      </c>
      <c r="AL37" s="16">
        <v>34000</v>
      </c>
      <c r="AM37" s="16">
        <v>34000</v>
      </c>
      <c r="AN37" s="16">
        <v>7200</v>
      </c>
      <c r="AO37" s="16" t="s">
        <v>138</v>
      </c>
      <c r="AP37" s="16">
        <v>34000</v>
      </c>
      <c r="AQ37" s="16">
        <v>34000</v>
      </c>
      <c r="AR37" s="16" t="s">
        <v>138</v>
      </c>
      <c r="AS37" s="16" t="s">
        <v>138</v>
      </c>
      <c r="AT37" s="16">
        <v>74000</v>
      </c>
      <c r="AU37" s="16" t="s">
        <v>138</v>
      </c>
      <c r="AV37" s="16" t="s">
        <v>138</v>
      </c>
      <c r="AW37" s="16">
        <v>34000</v>
      </c>
      <c r="AX37" s="16">
        <v>5263.1578947368425</v>
      </c>
      <c r="AY37" s="16">
        <v>30000</v>
      </c>
      <c r="AZ37" s="16" t="s">
        <v>138</v>
      </c>
      <c r="BA37" s="16" t="s">
        <v>138</v>
      </c>
      <c r="BB37" s="16">
        <v>7200</v>
      </c>
      <c r="BC37" s="16" t="s">
        <v>138</v>
      </c>
      <c r="BD37" s="16">
        <v>74000</v>
      </c>
      <c r="BE37" s="16">
        <v>34000</v>
      </c>
      <c r="BF37" s="16" t="s">
        <v>138</v>
      </c>
      <c r="BG37" s="16">
        <v>7200</v>
      </c>
      <c r="BH37" s="16">
        <v>74000</v>
      </c>
      <c r="BI37" s="16" t="s">
        <v>138</v>
      </c>
      <c r="BJ37" s="16">
        <v>15000</v>
      </c>
      <c r="BK37" s="16" t="s">
        <v>138</v>
      </c>
      <c r="BL37" s="16">
        <v>74000</v>
      </c>
      <c r="BM37" s="16">
        <v>34000</v>
      </c>
      <c r="BN37" s="16">
        <v>15000</v>
      </c>
      <c r="BO37" s="16" t="s">
        <v>138</v>
      </c>
      <c r="BP37" s="16">
        <v>34000</v>
      </c>
      <c r="BQ37" s="16">
        <v>34000</v>
      </c>
      <c r="BR37" s="16">
        <v>7200</v>
      </c>
      <c r="BS37" s="16" t="s">
        <v>138</v>
      </c>
      <c r="BT37" s="16" t="s">
        <v>138</v>
      </c>
      <c r="BU37" s="16" t="s">
        <v>138</v>
      </c>
      <c r="BV37" s="16">
        <v>74000</v>
      </c>
      <c r="BW37" s="16">
        <v>19000</v>
      </c>
      <c r="BX37" s="16">
        <v>7200</v>
      </c>
      <c r="BY37" s="16">
        <v>7200</v>
      </c>
      <c r="BZ37" s="16">
        <v>15000</v>
      </c>
      <c r="CA37" s="16">
        <v>7200</v>
      </c>
      <c r="CB37" s="16">
        <v>34000</v>
      </c>
      <c r="CC37" s="16">
        <v>7200</v>
      </c>
      <c r="CD37" s="16">
        <v>30000</v>
      </c>
      <c r="CE37" s="16">
        <v>7200</v>
      </c>
      <c r="CF37" s="16" t="s">
        <v>138</v>
      </c>
      <c r="CG37" s="16">
        <v>34000</v>
      </c>
      <c r="CH37" s="16" t="s">
        <v>138</v>
      </c>
      <c r="CI37" s="16" t="s">
        <v>138</v>
      </c>
      <c r="CJ37" s="16" t="s">
        <v>138</v>
      </c>
      <c r="CK37" s="16">
        <v>15000</v>
      </c>
      <c r="CL37" s="16">
        <v>34000</v>
      </c>
      <c r="CM37" s="16">
        <v>34000</v>
      </c>
      <c r="CN37" s="16">
        <v>7200</v>
      </c>
      <c r="CO37" s="16" t="s">
        <v>138</v>
      </c>
      <c r="CP37" s="16" t="s">
        <v>138</v>
      </c>
      <c r="CQ37" s="16">
        <v>7200</v>
      </c>
      <c r="CR37" s="16">
        <v>7200</v>
      </c>
      <c r="CS37" s="16">
        <v>7200</v>
      </c>
      <c r="CT37" s="16" t="s">
        <v>138</v>
      </c>
      <c r="CU37" s="16">
        <v>7200</v>
      </c>
      <c r="CV37" s="16">
        <v>7200</v>
      </c>
      <c r="CW37" s="16">
        <v>7200</v>
      </c>
    </row>
    <row r="38" spans="1:101" s="24" customFormat="1" x14ac:dyDescent="0.25">
      <c r="A38" s="13">
        <v>75</v>
      </c>
      <c r="B38" s="16">
        <v>19000</v>
      </c>
      <c r="C38" s="16">
        <v>75000</v>
      </c>
      <c r="D38" s="16">
        <v>7200</v>
      </c>
      <c r="E38" s="16" t="s">
        <v>138</v>
      </c>
      <c r="F38" s="16">
        <v>35000</v>
      </c>
      <c r="G38" s="16">
        <v>35000</v>
      </c>
      <c r="H38" s="16">
        <v>75000</v>
      </c>
      <c r="I38" s="16">
        <v>7200</v>
      </c>
      <c r="J38" s="16">
        <v>75000</v>
      </c>
      <c r="K38" s="16">
        <v>25000</v>
      </c>
      <c r="L38" s="16" t="s">
        <v>138</v>
      </c>
      <c r="M38" s="16" t="s">
        <v>138</v>
      </c>
      <c r="N38" s="16" t="s">
        <v>138</v>
      </c>
      <c r="O38" s="16">
        <v>15000</v>
      </c>
      <c r="P38" s="16" t="s">
        <v>138</v>
      </c>
      <c r="Q38" s="16" t="s">
        <v>138</v>
      </c>
      <c r="R38" s="16">
        <v>25000</v>
      </c>
      <c r="S38" s="16">
        <v>35000</v>
      </c>
      <c r="T38" s="16">
        <v>35000</v>
      </c>
      <c r="U38" s="16">
        <v>7200</v>
      </c>
      <c r="V38" s="16">
        <v>4761.9047619047615</v>
      </c>
      <c r="W38" s="16">
        <v>75000</v>
      </c>
      <c r="X38" s="16" t="s">
        <v>138</v>
      </c>
      <c r="Y38" s="16" t="s">
        <v>138</v>
      </c>
      <c r="Z38" s="16" t="s">
        <v>138</v>
      </c>
      <c r="AA38" s="16">
        <v>25000</v>
      </c>
      <c r="AB38" s="16">
        <v>15000</v>
      </c>
      <c r="AC38" s="16">
        <v>7200</v>
      </c>
      <c r="AD38" s="16" t="s">
        <v>138</v>
      </c>
      <c r="AE38" s="16" t="s">
        <v>138</v>
      </c>
      <c r="AF38" s="16" t="s">
        <v>138</v>
      </c>
      <c r="AG38" s="16">
        <v>15000</v>
      </c>
      <c r="AH38" s="16" t="s">
        <v>138</v>
      </c>
      <c r="AI38" s="16" t="s">
        <v>138</v>
      </c>
      <c r="AJ38" s="16">
        <v>15000</v>
      </c>
      <c r="AK38" s="16">
        <v>15000</v>
      </c>
      <c r="AL38" s="16">
        <v>35000</v>
      </c>
      <c r="AM38" s="16">
        <v>35000</v>
      </c>
      <c r="AN38" s="16">
        <v>7200</v>
      </c>
      <c r="AO38" s="16" t="s">
        <v>138</v>
      </c>
      <c r="AP38" s="16">
        <v>35000</v>
      </c>
      <c r="AQ38" s="16">
        <v>35000</v>
      </c>
      <c r="AR38" s="16" t="s">
        <v>138</v>
      </c>
      <c r="AS38" s="16" t="s">
        <v>138</v>
      </c>
      <c r="AT38" s="16">
        <v>75000</v>
      </c>
      <c r="AU38" s="16" t="s">
        <v>138</v>
      </c>
      <c r="AV38" s="16" t="s">
        <v>138</v>
      </c>
      <c r="AW38" s="16">
        <v>35000</v>
      </c>
      <c r="AX38" s="16">
        <v>5263.1578947368425</v>
      </c>
      <c r="AY38" s="16" t="s">
        <v>138</v>
      </c>
      <c r="AZ38" s="16" t="s">
        <v>138</v>
      </c>
      <c r="BA38" s="16" t="s">
        <v>138</v>
      </c>
      <c r="BB38" s="16">
        <v>7200</v>
      </c>
      <c r="BC38" s="16" t="s">
        <v>138</v>
      </c>
      <c r="BD38" s="16">
        <v>75000</v>
      </c>
      <c r="BE38" s="16">
        <v>35000</v>
      </c>
      <c r="BF38" s="16" t="s">
        <v>138</v>
      </c>
      <c r="BG38" s="16">
        <v>7200</v>
      </c>
      <c r="BH38" s="16">
        <v>75000</v>
      </c>
      <c r="BI38" s="16" t="s">
        <v>138</v>
      </c>
      <c r="BJ38" s="16">
        <v>15000</v>
      </c>
      <c r="BK38" s="16" t="s">
        <v>138</v>
      </c>
      <c r="BL38" s="16">
        <v>75000</v>
      </c>
      <c r="BM38" s="16">
        <v>35000</v>
      </c>
      <c r="BN38" s="16">
        <v>15000</v>
      </c>
      <c r="BO38" s="16" t="s">
        <v>138</v>
      </c>
      <c r="BP38" s="16">
        <v>35000</v>
      </c>
      <c r="BQ38" s="16">
        <v>35000</v>
      </c>
      <c r="BR38" s="16">
        <v>7200</v>
      </c>
      <c r="BS38" s="16" t="s">
        <v>138</v>
      </c>
      <c r="BT38" s="16" t="s">
        <v>138</v>
      </c>
      <c r="BU38" s="16" t="s">
        <v>138</v>
      </c>
      <c r="BV38" s="16">
        <v>75000</v>
      </c>
      <c r="BW38" s="16">
        <v>25000</v>
      </c>
      <c r="BX38" s="16">
        <v>7200</v>
      </c>
      <c r="BY38" s="16">
        <v>7200</v>
      </c>
      <c r="BZ38" s="16">
        <v>15000</v>
      </c>
      <c r="CA38" s="16">
        <v>7200</v>
      </c>
      <c r="CB38" s="16">
        <v>35000</v>
      </c>
      <c r="CC38" s="16">
        <v>7200</v>
      </c>
      <c r="CD38" s="16" t="s">
        <v>138</v>
      </c>
      <c r="CE38" s="16">
        <v>7200</v>
      </c>
      <c r="CF38" s="16" t="s">
        <v>138</v>
      </c>
      <c r="CG38" s="16">
        <v>35000</v>
      </c>
      <c r="CH38" s="16" t="s">
        <v>138</v>
      </c>
      <c r="CI38" s="16" t="s">
        <v>138</v>
      </c>
      <c r="CJ38" s="16" t="s">
        <v>138</v>
      </c>
      <c r="CK38" s="16">
        <v>15000</v>
      </c>
      <c r="CL38" s="16">
        <v>35000</v>
      </c>
      <c r="CM38" s="16">
        <v>35000</v>
      </c>
      <c r="CN38" s="16">
        <v>7200</v>
      </c>
      <c r="CO38" s="16" t="s">
        <v>138</v>
      </c>
      <c r="CP38" s="16">
        <v>30000</v>
      </c>
      <c r="CQ38" s="16">
        <v>7200</v>
      </c>
      <c r="CR38" s="16">
        <v>7200</v>
      </c>
      <c r="CS38" s="16">
        <v>7200</v>
      </c>
      <c r="CT38" s="16" t="s">
        <v>138</v>
      </c>
      <c r="CU38" s="16">
        <v>7200</v>
      </c>
      <c r="CV38" s="16">
        <v>7200</v>
      </c>
      <c r="CW38" s="16">
        <v>7200</v>
      </c>
    </row>
    <row r="39" spans="1:101" s="24" customFormat="1" x14ac:dyDescent="0.25">
      <c r="A39" s="13">
        <v>76</v>
      </c>
      <c r="B39" s="16">
        <v>19000</v>
      </c>
      <c r="C39" s="16">
        <v>76000</v>
      </c>
      <c r="D39" s="16">
        <v>7200</v>
      </c>
      <c r="E39" s="16" t="s">
        <v>138</v>
      </c>
      <c r="F39" s="16">
        <v>36000</v>
      </c>
      <c r="G39" s="16">
        <v>36000</v>
      </c>
      <c r="H39" s="16">
        <v>76000</v>
      </c>
      <c r="I39" s="16">
        <v>7200</v>
      </c>
      <c r="J39" s="16">
        <v>76000</v>
      </c>
      <c r="K39" s="16">
        <v>25000</v>
      </c>
      <c r="L39" s="16">
        <v>30000</v>
      </c>
      <c r="M39" s="16" t="s">
        <v>138</v>
      </c>
      <c r="N39" s="16" t="s">
        <v>138</v>
      </c>
      <c r="O39" s="16">
        <v>15000</v>
      </c>
      <c r="P39" s="16" t="s">
        <v>138</v>
      </c>
      <c r="Q39" s="16" t="s">
        <v>138</v>
      </c>
      <c r="R39" s="16">
        <v>25000</v>
      </c>
      <c r="S39" s="16">
        <v>36000</v>
      </c>
      <c r="T39" s="16">
        <v>36000</v>
      </c>
      <c r="U39" s="16">
        <v>7200</v>
      </c>
      <c r="V39" s="16">
        <v>4761.9047619047615</v>
      </c>
      <c r="W39" s="16">
        <v>76000</v>
      </c>
      <c r="X39" s="16" t="s">
        <v>138</v>
      </c>
      <c r="Y39" s="16" t="s">
        <v>138</v>
      </c>
      <c r="Z39" s="16" t="s">
        <v>138</v>
      </c>
      <c r="AA39" s="16">
        <v>25000</v>
      </c>
      <c r="AB39" s="16">
        <v>15000</v>
      </c>
      <c r="AC39" s="16">
        <v>7200</v>
      </c>
      <c r="AD39" s="16" t="s">
        <v>138</v>
      </c>
      <c r="AE39" s="16" t="s">
        <v>138</v>
      </c>
      <c r="AF39" s="16" t="s">
        <v>138</v>
      </c>
      <c r="AG39" s="16" t="s">
        <v>138</v>
      </c>
      <c r="AH39" s="16" t="s">
        <v>138</v>
      </c>
      <c r="AI39" s="16" t="s">
        <v>138</v>
      </c>
      <c r="AJ39" s="16">
        <v>15000</v>
      </c>
      <c r="AK39" s="16">
        <v>15000</v>
      </c>
      <c r="AL39" s="16">
        <v>36000</v>
      </c>
      <c r="AM39" s="16">
        <v>36000</v>
      </c>
      <c r="AN39" s="16">
        <v>7200</v>
      </c>
      <c r="AO39" s="16" t="s">
        <v>138</v>
      </c>
      <c r="AP39" s="16">
        <v>36000</v>
      </c>
      <c r="AQ39" s="16">
        <v>36000</v>
      </c>
      <c r="AR39" s="16" t="s">
        <v>138</v>
      </c>
      <c r="AS39" s="16" t="s">
        <v>138</v>
      </c>
      <c r="AT39" s="16">
        <v>76000</v>
      </c>
      <c r="AU39" s="16" t="s">
        <v>138</v>
      </c>
      <c r="AV39" s="16" t="s">
        <v>138</v>
      </c>
      <c r="AW39" s="16">
        <v>36000</v>
      </c>
      <c r="AX39" s="16">
        <v>5263.1578947368425</v>
      </c>
      <c r="AY39" s="16">
        <v>30000</v>
      </c>
      <c r="AZ39" s="16" t="s">
        <v>138</v>
      </c>
      <c r="BA39" s="16" t="s">
        <v>138</v>
      </c>
      <c r="BB39" s="16">
        <v>7200</v>
      </c>
      <c r="BC39" s="16" t="s">
        <v>138</v>
      </c>
      <c r="BD39" s="16">
        <v>76000</v>
      </c>
      <c r="BE39" s="16">
        <v>36000</v>
      </c>
      <c r="BF39" s="16" t="s">
        <v>138</v>
      </c>
      <c r="BG39" s="16">
        <v>7200</v>
      </c>
      <c r="BH39" s="16">
        <v>76000</v>
      </c>
      <c r="BI39" s="16" t="s">
        <v>138</v>
      </c>
      <c r="BJ39" s="16">
        <v>15000</v>
      </c>
      <c r="BK39" s="16" t="s">
        <v>138</v>
      </c>
      <c r="BL39" s="16">
        <v>76000</v>
      </c>
      <c r="BM39" s="16">
        <v>36000</v>
      </c>
      <c r="BN39" s="16">
        <v>15000</v>
      </c>
      <c r="BO39" s="16" t="s">
        <v>138</v>
      </c>
      <c r="BP39" s="16">
        <v>36000</v>
      </c>
      <c r="BQ39" s="16">
        <v>36000</v>
      </c>
      <c r="BR39" s="16">
        <v>7200</v>
      </c>
      <c r="BS39" s="16" t="s">
        <v>138</v>
      </c>
      <c r="BT39" s="16" t="s">
        <v>138</v>
      </c>
      <c r="BU39" s="16" t="s">
        <v>138</v>
      </c>
      <c r="BV39" s="16">
        <v>76000</v>
      </c>
      <c r="BW39" s="16">
        <v>25000</v>
      </c>
      <c r="BX39" s="16">
        <v>7200</v>
      </c>
      <c r="BY39" s="16">
        <v>7200</v>
      </c>
      <c r="BZ39" s="16" t="s">
        <v>138</v>
      </c>
      <c r="CA39" s="16">
        <v>7200</v>
      </c>
      <c r="CB39" s="16">
        <v>36000</v>
      </c>
      <c r="CC39" s="16">
        <v>7200</v>
      </c>
      <c r="CD39" s="16">
        <v>30000</v>
      </c>
      <c r="CE39" s="16">
        <v>7200</v>
      </c>
      <c r="CF39" s="16" t="s">
        <v>138</v>
      </c>
      <c r="CG39" s="16">
        <v>36000</v>
      </c>
      <c r="CH39" s="16" t="s">
        <v>138</v>
      </c>
      <c r="CI39" s="16" t="s">
        <v>138</v>
      </c>
      <c r="CJ39" s="16" t="s">
        <v>138</v>
      </c>
      <c r="CK39" s="16">
        <v>15000</v>
      </c>
      <c r="CL39" s="16">
        <v>36000</v>
      </c>
      <c r="CM39" s="16">
        <v>36000</v>
      </c>
      <c r="CN39" s="16">
        <v>7200</v>
      </c>
      <c r="CO39" s="16" t="s">
        <v>138</v>
      </c>
      <c r="CP39" s="16" t="s">
        <v>138</v>
      </c>
      <c r="CQ39" s="16">
        <v>7200</v>
      </c>
      <c r="CR39" s="16">
        <v>7200</v>
      </c>
      <c r="CS39" s="16">
        <v>7200</v>
      </c>
      <c r="CT39" s="16" t="s">
        <v>138</v>
      </c>
      <c r="CU39" s="16">
        <v>7200</v>
      </c>
      <c r="CV39" s="16">
        <v>7200</v>
      </c>
      <c r="CW39" s="16">
        <v>7200</v>
      </c>
    </row>
    <row r="40" spans="1:101" s="24" customFormat="1" x14ac:dyDescent="0.25">
      <c r="A40" s="13">
        <v>77</v>
      </c>
      <c r="B40" s="16">
        <v>25000</v>
      </c>
      <c r="C40" s="16">
        <v>77000</v>
      </c>
      <c r="D40" s="16">
        <v>7200</v>
      </c>
      <c r="E40" s="16" t="s">
        <v>138</v>
      </c>
      <c r="F40" s="16">
        <v>37000</v>
      </c>
      <c r="G40" s="16">
        <v>37000</v>
      </c>
      <c r="H40" s="16">
        <v>77000</v>
      </c>
      <c r="I40" s="16">
        <v>7200</v>
      </c>
      <c r="J40" s="16">
        <v>77000</v>
      </c>
      <c r="K40" s="16">
        <v>25000</v>
      </c>
      <c r="L40" s="16" t="s">
        <v>138</v>
      </c>
      <c r="M40" s="16" t="s">
        <v>138</v>
      </c>
      <c r="N40" s="16" t="s">
        <v>138</v>
      </c>
      <c r="O40" s="16">
        <v>15000</v>
      </c>
      <c r="P40" s="16" t="s">
        <v>138</v>
      </c>
      <c r="Q40" s="16" t="s">
        <v>138</v>
      </c>
      <c r="R40" s="16">
        <v>25000</v>
      </c>
      <c r="S40" s="16">
        <v>37000</v>
      </c>
      <c r="T40" s="16">
        <v>37000</v>
      </c>
      <c r="U40" s="16">
        <v>7200</v>
      </c>
      <c r="V40" s="16">
        <v>4761.9047619047615</v>
      </c>
      <c r="W40" s="16">
        <v>77000</v>
      </c>
      <c r="X40" s="16" t="s">
        <v>138</v>
      </c>
      <c r="Y40" s="16" t="s">
        <v>138</v>
      </c>
      <c r="Z40" s="16" t="s">
        <v>138</v>
      </c>
      <c r="AA40" s="16">
        <v>25000</v>
      </c>
      <c r="AB40" s="16">
        <v>15000</v>
      </c>
      <c r="AC40" s="16">
        <v>7200</v>
      </c>
      <c r="AD40" s="16" t="s">
        <v>138</v>
      </c>
      <c r="AE40" s="16" t="s">
        <v>138</v>
      </c>
      <c r="AF40" s="16" t="s">
        <v>138</v>
      </c>
      <c r="AG40" s="16" t="s">
        <v>138</v>
      </c>
      <c r="AH40" s="16" t="s">
        <v>138</v>
      </c>
      <c r="AI40" s="16" t="s">
        <v>138</v>
      </c>
      <c r="AJ40" s="16">
        <v>15000</v>
      </c>
      <c r="AK40" s="16">
        <v>15000</v>
      </c>
      <c r="AL40" s="16">
        <v>37000</v>
      </c>
      <c r="AM40" s="16">
        <v>37000</v>
      </c>
      <c r="AN40" s="16">
        <v>7200</v>
      </c>
      <c r="AO40" s="16" t="s">
        <v>138</v>
      </c>
      <c r="AP40" s="16">
        <v>37000</v>
      </c>
      <c r="AQ40" s="16">
        <v>37000</v>
      </c>
      <c r="AR40" s="16" t="s">
        <v>138</v>
      </c>
      <c r="AS40" s="16" t="s">
        <v>138</v>
      </c>
      <c r="AT40" s="16">
        <v>77000</v>
      </c>
      <c r="AU40" s="16" t="s">
        <v>138</v>
      </c>
      <c r="AV40" s="16" t="s">
        <v>138</v>
      </c>
      <c r="AW40" s="16">
        <v>37000</v>
      </c>
      <c r="AX40" s="16">
        <v>5263.1578947368425</v>
      </c>
      <c r="AY40" s="16" t="s">
        <v>138</v>
      </c>
      <c r="AZ40" s="16" t="s">
        <v>138</v>
      </c>
      <c r="BA40" s="16" t="s">
        <v>138</v>
      </c>
      <c r="BB40" s="16">
        <v>7200</v>
      </c>
      <c r="BC40" s="16" t="s">
        <v>138</v>
      </c>
      <c r="BD40" s="16">
        <v>77000</v>
      </c>
      <c r="BE40" s="16">
        <v>37000</v>
      </c>
      <c r="BF40" s="16" t="s">
        <v>138</v>
      </c>
      <c r="BG40" s="16">
        <v>7200</v>
      </c>
      <c r="BH40" s="16">
        <v>77000</v>
      </c>
      <c r="BI40" s="16" t="s">
        <v>138</v>
      </c>
      <c r="BJ40" s="16">
        <v>15000</v>
      </c>
      <c r="BK40" s="16" t="s">
        <v>138</v>
      </c>
      <c r="BL40" s="16">
        <v>77000</v>
      </c>
      <c r="BM40" s="16">
        <v>37000</v>
      </c>
      <c r="BN40" s="16">
        <v>15000</v>
      </c>
      <c r="BO40" s="16" t="s">
        <v>138</v>
      </c>
      <c r="BP40" s="16">
        <v>37000</v>
      </c>
      <c r="BQ40" s="16">
        <v>37000</v>
      </c>
      <c r="BR40" s="16">
        <v>7200</v>
      </c>
      <c r="BS40" s="16" t="s">
        <v>138</v>
      </c>
      <c r="BT40" s="16" t="s">
        <v>138</v>
      </c>
      <c r="BU40" s="16" t="s">
        <v>138</v>
      </c>
      <c r="BV40" s="16">
        <v>77000</v>
      </c>
      <c r="BW40" s="16">
        <v>25000</v>
      </c>
      <c r="BX40" s="16">
        <v>7200</v>
      </c>
      <c r="BY40" s="16">
        <v>7200</v>
      </c>
      <c r="BZ40" s="16" t="s">
        <v>138</v>
      </c>
      <c r="CA40" s="16">
        <v>7200</v>
      </c>
      <c r="CB40" s="16">
        <v>37000</v>
      </c>
      <c r="CC40" s="16">
        <v>7200</v>
      </c>
      <c r="CD40" s="16" t="s">
        <v>138</v>
      </c>
      <c r="CE40" s="16">
        <v>7200</v>
      </c>
      <c r="CF40" s="16" t="s">
        <v>138</v>
      </c>
      <c r="CG40" s="16">
        <v>37000</v>
      </c>
      <c r="CH40" s="16" t="s">
        <v>138</v>
      </c>
      <c r="CI40" s="16" t="s">
        <v>138</v>
      </c>
      <c r="CJ40" s="16" t="s">
        <v>138</v>
      </c>
      <c r="CK40" s="16">
        <v>15000</v>
      </c>
      <c r="CL40" s="16">
        <v>37000</v>
      </c>
      <c r="CM40" s="16">
        <v>37000</v>
      </c>
      <c r="CN40" s="16">
        <v>7200</v>
      </c>
      <c r="CO40" s="16" t="s">
        <v>138</v>
      </c>
      <c r="CP40" s="16">
        <v>30000</v>
      </c>
      <c r="CQ40" s="16">
        <v>7200</v>
      </c>
      <c r="CR40" s="16">
        <v>7200</v>
      </c>
      <c r="CS40" s="16">
        <v>7200</v>
      </c>
      <c r="CT40" s="16" t="s">
        <v>138</v>
      </c>
      <c r="CU40" s="16">
        <v>7200</v>
      </c>
      <c r="CV40" s="16">
        <v>7200</v>
      </c>
      <c r="CW40" s="16">
        <v>7200</v>
      </c>
    </row>
    <row r="41" spans="1:101" s="24" customFormat="1" x14ac:dyDescent="0.25">
      <c r="A41" s="13">
        <v>78</v>
      </c>
      <c r="B41" s="16">
        <v>25000</v>
      </c>
      <c r="C41" s="16">
        <v>78000</v>
      </c>
      <c r="D41" s="16">
        <v>7200</v>
      </c>
      <c r="E41" s="16" t="s">
        <v>138</v>
      </c>
      <c r="F41" s="16">
        <v>38000</v>
      </c>
      <c r="G41" s="16">
        <v>38000</v>
      </c>
      <c r="H41" s="16">
        <v>78000</v>
      </c>
      <c r="I41" s="16">
        <v>7200</v>
      </c>
      <c r="J41" s="16">
        <v>78000</v>
      </c>
      <c r="K41" s="16">
        <v>25000</v>
      </c>
      <c r="L41" s="16">
        <v>30000</v>
      </c>
      <c r="M41" s="16" t="s">
        <v>138</v>
      </c>
      <c r="N41" s="16" t="s">
        <v>138</v>
      </c>
      <c r="O41" s="16" t="s">
        <v>138</v>
      </c>
      <c r="P41" s="16" t="s">
        <v>138</v>
      </c>
      <c r="Q41" s="16" t="s">
        <v>138</v>
      </c>
      <c r="R41" s="16">
        <v>25000</v>
      </c>
      <c r="S41" s="16">
        <v>38000</v>
      </c>
      <c r="T41" s="16">
        <v>38000</v>
      </c>
      <c r="U41" s="16">
        <v>7200</v>
      </c>
      <c r="V41" s="16">
        <v>4761.9047619047615</v>
      </c>
      <c r="W41" s="16">
        <v>78000</v>
      </c>
      <c r="X41" s="16" t="s">
        <v>138</v>
      </c>
      <c r="Y41" s="16" t="s">
        <v>138</v>
      </c>
      <c r="Z41" s="16" t="s">
        <v>138</v>
      </c>
      <c r="AA41" s="16">
        <v>25000</v>
      </c>
      <c r="AB41" s="16">
        <v>15000</v>
      </c>
      <c r="AC41" s="16">
        <v>7200</v>
      </c>
      <c r="AD41" s="16" t="s">
        <v>138</v>
      </c>
      <c r="AE41" s="16" t="s">
        <v>138</v>
      </c>
      <c r="AF41" s="16" t="s">
        <v>138</v>
      </c>
      <c r="AG41" s="16" t="s">
        <v>138</v>
      </c>
      <c r="AH41" s="16" t="s">
        <v>138</v>
      </c>
      <c r="AI41" s="16" t="s">
        <v>138</v>
      </c>
      <c r="AJ41" s="16">
        <v>15000</v>
      </c>
      <c r="AK41" s="16">
        <v>15000</v>
      </c>
      <c r="AL41" s="16">
        <v>38000</v>
      </c>
      <c r="AM41" s="16">
        <v>38000</v>
      </c>
      <c r="AN41" s="16">
        <v>7200</v>
      </c>
      <c r="AO41" s="16">
        <v>15000</v>
      </c>
      <c r="AP41" s="16">
        <v>38000</v>
      </c>
      <c r="AQ41" s="16">
        <v>38000</v>
      </c>
      <c r="AR41" s="16" t="s">
        <v>138</v>
      </c>
      <c r="AS41" s="16" t="s">
        <v>138</v>
      </c>
      <c r="AT41" s="16">
        <v>78000</v>
      </c>
      <c r="AU41" s="16" t="s">
        <v>138</v>
      </c>
      <c r="AV41" s="16" t="s">
        <v>138</v>
      </c>
      <c r="AW41" s="16">
        <v>38000</v>
      </c>
      <c r="AX41" s="16">
        <v>5263.1578947368425</v>
      </c>
      <c r="AY41" s="16" t="s">
        <v>138</v>
      </c>
      <c r="AZ41" s="16" t="s">
        <v>138</v>
      </c>
      <c r="BA41" s="16">
        <v>7200</v>
      </c>
      <c r="BB41" s="16">
        <v>7200</v>
      </c>
      <c r="BC41" s="16" t="s">
        <v>138</v>
      </c>
      <c r="BD41" s="16">
        <v>78000</v>
      </c>
      <c r="BE41" s="16">
        <v>38000</v>
      </c>
      <c r="BF41" s="16">
        <v>7200</v>
      </c>
      <c r="BG41" s="16">
        <v>7200</v>
      </c>
      <c r="BH41" s="16">
        <v>78000</v>
      </c>
      <c r="BI41" s="16" t="s">
        <v>138</v>
      </c>
      <c r="BJ41" s="16">
        <v>15000</v>
      </c>
      <c r="BK41" s="16" t="s">
        <v>138</v>
      </c>
      <c r="BL41" s="16">
        <v>78000</v>
      </c>
      <c r="BM41" s="16">
        <v>38000</v>
      </c>
      <c r="BN41" s="16">
        <v>15000</v>
      </c>
      <c r="BO41" s="16" t="s">
        <v>138</v>
      </c>
      <c r="BP41" s="16">
        <v>38000</v>
      </c>
      <c r="BQ41" s="16">
        <v>38000</v>
      </c>
      <c r="BR41" s="16">
        <v>7200</v>
      </c>
      <c r="BS41" s="16" t="s">
        <v>138</v>
      </c>
      <c r="BT41" s="16" t="s">
        <v>138</v>
      </c>
      <c r="BU41" s="16" t="s">
        <v>138</v>
      </c>
      <c r="BV41" s="16">
        <v>78000</v>
      </c>
      <c r="BW41" s="16" t="s">
        <v>138</v>
      </c>
      <c r="BX41" s="16">
        <v>7200</v>
      </c>
      <c r="BY41" s="16">
        <v>7200</v>
      </c>
      <c r="BZ41" s="16" t="s">
        <v>138</v>
      </c>
      <c r="CA41" s="16">
        <v>7200</v>
      </c>
      <c r="CB41" s="16">
        <v>38000</v>
      </c>
      <c r="CC41" s="16">
        <v>7200</v>
      </c>
      <c r="CD41" s="16">
        <v>30000</v>
      </c>
      <c r="CE41" s="16">
        <v>7200</v>
      </c>
      <c r="CF41" s="16" t="s">
        <v>138</v>
      </c>
      <c r="CG41" s="16">
        <v>38000</v>
      </c>
      <c r="CH41" s="16" t="s">
        <v>138</v>
      </c>
      <c r="CI41" s="16" t="s">
        <v>138</v>
      </c>
      <c r="CJ41" s="16" t="s">
        <v>138</v>
      </c>
      <c r="CK41" s="16">
        <v>15000</v>
      </c>
      <c r="CL41" s="16">
        <v>38000</v>
      </c>
      <c r="CM41" s="16">
        <v>38000</v>
      </c>
      <c r="CN41" s="16">
        <v>7200</v>
      </c>
      <c r="CO41" s="16" t="s">
        <v>138</v>
      </c>
      <c r="CP41" s="16" t="s">
        <v>138</v>
      </c>
      <c r="CQ41" s="16">
        <v>7200</v>
      </c>
      <c r="CR41" s="16">
        <v>7200</v>
      </c>
      <c r="CS41" s="16">
        <v>7200</v>
      </c>
      <c r="CT41" s="16" t="s">
        <v>138</v>
      </c>
      <c r="CU41" s="16">
        <v>7200</v>
      </c>
      <c r="CV41" s="16">
        <v>7200</v>
      </c>
      <c r="CW41" s="16">
        <v>7200</v>
      </c>
    </row>
    <row r="42" spans="1:101" s="24" customFormat="1" x14ac:dyDescent="0.25">
      <c r="A42" s="13">
        <v>79</v>
      </c>
      <c r="B42" s="16">
        <v>25000</v>
      </c>
      <c r="C42" s="16">
        <v>79000</v>
      </c>
      <c r="D42" s="16">
        <v>7200</v>
      </c>
      <c r="E42" s="16" t="s">
        <v>138</v>
      </c>
      <c r="F42" s="16">
        <v>39000</v>
      </c>
      <c r="G42" s="16">
        <v>39000</v>
      </c>
      <c r="H42" s="16">
        <v>79000</v>
      </c>
      <c r="I42" s="16">
        <v>7200</v>
      </c>
      <c r="J42" s="16">
        <v>79000</v>
      </c>
      <c r="K42" s="16">
        <v>25000</v>
      </c>
      <c r="L42" s="16" t="s">
        <v>138</v>
      </c>
      <c r="M42" s="16" t="s">
        <v>138</v>
      </c>
      <c r="N42" s="16" t="s">
        <v>138</v>
      </c>
      <c r="O42" s="16" t="s">
        <v>138</v>
      </c>
      <c r="P42" s="16" t="s">
        <v>138</v>
      </c>
      <c r="Q42" s="16" t="s">
        <v>138</v>
      </c>
      <c r="R42" s="16">
        <v>25000</v>
      </c>
      <c r="S42" s="16">
        <v>39000</v>
      </c>
      <c r="T42" s="16">
        <v>39000</v>
      </c>
      <c r="U42" s="16">
        <v>7200</v>
      </c>
      <c r="V42" s="16" t="s">
        <v>138</v>
      </c>
      <c r="W42" s="16">
        <v>79000</v>
      </c>
      <c r="X42" s="16" t="s">
        <v>138</v>
      </c>
      <c r="Y42" s="16" t="s">
        <v>138</v>
      </c>
      <c r="Z42" s="16" t="s">
        <v>138</v>
      </c>
      <c r="AA42" s="16">
        <v>25000</v>
      </c>
      <c r="AB42" s="16" t="s">
        <v>138</v>
      </c>
      <c r="AC42" s="16">
        <v>7200</v>
      </c>
      <c r="AD42" s="16" t="s">
        <v>138</v>
      </c>
      <c r="AE42" s="16" t="s">
        <v>138</v>
      </c>
      <c r="AF42" s="16" t="s">
        <v>138</v>
      </c>
      <c r="AG42" s="16" t="s">
        <v>138</v>
      </c>
      <c r="AH42" s="16" t="s">
        <v>138</v>
      </c>
      <c r="AI42" s="16" t="s">
        <v>138</v>
      </c>
      <c r="AJ42" s="16">
        <v>15000</v>
      </c>
      <c r="AK42" s="16">
        <v>15000</v>
      </c>
      <c r="AL42" s="16">
        <v>39000</v>
      </c>
      <c r="AM42" s="16">
        <v>39000</v>
      </c>
      <c r="AN42" s="16">
        <v>7200</v>
      </c>
      <c r="AO42" s="16">
        <v>15000</v>
      </c>
      <c r="AP42" s="16">
        <v>39000</v>
      </c>
      <c r="AQ42" s="16">
        <v>39000</v>
      </c>
      <c r="AR42" s="16" t="s">
        <v>138</v>
      </c>
      <c r="AS42" s="16" t="s">
        <v>138</v>
      </c>
      <c r="AT42" s="16">
        <v>79000</v>
      </c>
      <c r="AU42" s="16" t="s">
        <v>138</v>
      </c>
      <c r="AV42" s="16" t="s">
        <v>138</v>
      </c>
      <c r="AW42" s="16">
        <v>39000</v>
      </c>
      <c r="AX42" s="16">
        <v>5263.1578947368425</v>
      </c>
      <c r="AY42" s="16" t="s">
        <v>138</v>
      </c>
      <c r="AZ42" s="16" t="s">
        <v>138</v>
      </c>
      <c r="BA42" s="16">
        <v>7200</v>
      </c>
      <c r="BB42" s="16">
        <v>7200</v>
      </c>
      <c r="BC42" s="16" t="s">
        <v>138</v>
      </c>
      <c r="BD42" s="16">
        <v>79000</v>
      </c>
      <c r="BE42" s="16">
        <v>39000</v>
      </c>
      <c r="BF42" s="16">
        <v>7200</v>
      </c>
      <c r="BG42" s="16">
        <v>7200</v>
      </c>
      <c r="BH42" s="16">
        <v>79000</v>
      </c>
      <c r="BI42" s="16" t="s">
        <v>138</v>
      </c>
      <c r="BJ42" s="16">
        <v>15000</v>
      </c>
      <c r="BK42" s="16" t="s">
        <v>138</v>
      </c>
      <c r="BL42" s="16">
        <v>79000</v>
      </c>
      <c r="BM42" s="16">
        <v>39000</v>
      </c>
      <c r="BN42" s="16">
        <v>15000</v>
      </c>
      <c r="BO42" s="16" t="s">
        <v>138</v>
      </c>
      <c r="BP42" s="16">
        <v>39000</v>
      </c>
      <c r="BQ42" s="16">
        <v>39000</v>
      </c>
      <c r="BR42" s="16">
        <v>7200</v>
      </c>
      <c r="BS42" s="16" t="s">
        <v>138</v>
      </c>
      <c r="BT42" s="16" t="s">
        <v>138</v>
      </c>
      <c r="BU42" s="16" t="s">
        <v>138</v>
      </c>
      <c r="BV42" s="16">
        <v>79000</v>
      </c>
      <c r="BW42" s="16" t="s">
        <v>138</v>
      </c>
      <c r="BX42" s="16">
        <v>7200</v>
      </c>
      <c r="BY42" s="16">
        <v>7200</v>
      </c>
      <c r="BZ42" s="16" t="s">
        <v>138</v>
      </c>
      <c r="CA42" s="16">
        <v>7200</v>
      </c>
      <c r="CB42" s="16">
        <v>39000</v>
      </c>
      <c r="CC42" s="16">
        <v>7200</v>
      </c>
      <c r="CD42" s="16" t="s">
        <v>138</v>
      </c>
      <c r="CE42" s="16">
        <v>7200</v>
      </c>
      <c r="CF42" s="16" t="s">
        <v>138</v>
      </c>
      <c r="CG42" s="16">
        <v>39000</v>
      </c>
      <c r="CH42" s="16" t="s">
        <v>138</v>
      </c>
      <c r="CI42" s="16" t="s">
        <v>138</v>
      </c>
      <c r="CJ42" s="16" t="s">
        <v>138</v>
      </c>
      <c r="CK42" s="16">
        <v>15000</v>
      </c>
      <c r="CL42" s="16">
        <v>39000</v>
      </c>
      <c r="CM42" s="16">
        <v>39000</v>
      </c>
      <c r="CN42" s="16">
        <v>7200</v>
      </c>
      <c r="CO42" s="16" t="s">
        <v>138</v>
      </c>
      <c r="CP42" s="16">
        <v>30000</v>
      </c>
      <c r="CQ42" s="16">
        <v>7200</v>
      </c>
      <c r="CR42" s="16">
        <v>7200</v>
      </c>
      <c r="CS42" s="16">
        <v>7200</v>
      </c>
      <c r="CT42" s="16" t="s">
        <v>138</v>
      </c>
      <c r="CU42" s="16">
        <v>7200</v>
      </c>
      <c r="CV42" s="16">
        <v>7200</v>
      </c>
      <c r="CW42" s="16">
        <v>7200</v>
      </c>
    </row>
    <row r="43" spans="1:101" s="24" customFormat="1" x14ac:dyDescent="0.25">
      <c r="A43" s="13">
        <v>80</v>
      </c>
      <c r="B43" s="16">
        <v>25000</v>
      </c>
      <c r="C43" s="16">
        <v>80000</v>
      </c>
      <c r="D43" s="16">
        <v>7200</v>
      </c>
      <c r="E43" s="16" t="s">
        <v>138</v>
      </c>
      <c r="F43" s="16">
        <v>40000</v>
      </c>
      <c r="G43" s="16">
        <v>40000</v>
      </c>
      <c r="H43" s="16">
        <v>80000</v>
      </c>
      <c r="I43" s="16">
        <v>7200</v>
      </c>
      <c r="J43" s="16">
        <v>80000</v>
      </c>
      <c r="K43" s="16">
        <v>25000</v>
      </c>
      <c r="L43" s="16" t="s">
        <v>138</v>
      </c>
      <c r="M43" s="16" t="s">
        <v>138</v>
      </c>
      <c r="N43" s="16" t="s">
        <v>138</v>
      </c>
      <c r="O43" s="16" t="s">
        <v>138</v>
      </c>
      <c r="P43" s="16" t="s">
        <v>138</v>
      </c>
      <c r="Q43" s="16" t="s">
        <v>138</v>
      </c>
      <c r="R43" s="16">
        <v>25000</v>
      </c>
      <c r="S43" s="16">
        <v>40000</v>
      </c>
      <c r="T43" s="16">
        <v>40000</v>
      </c>
      <c r="U43" s="16">
        <v>7200</v>
      </c>
      <c r="V43" s="16" t="s">
        <v>138</v>
      </c>
      <c r="W43" s="16">
        <v>80000</v>
      </c>
      <c r="X43" s="16" t="s">
        <v>138</v>
      </c>
      <c r="Y43" s="16" t="s">
        <v>138</v>
      </c>
      <c r="Z43" s="16" t="s">
        <v>138</v>
      </c>
      <c r="AA43" s="16">
        <v>25000</v>
      </c>
      <c r="AB43" s="16" t="s">
        <v>138</v>
      </c>
      <c r="AC43" s="16">
        <v>7200</v>
      </c>
      <c r="AD43" s="16" t="s">
        <v>138</v>
      </c>
      <c r="AE43" s="16" t="s">
        <v>138</v>
      </c>
      <c r="AF43" s="16" t="s">
        <v>138</v>
      </c>
      <c r="AG43" s="16" t="s">
        <v>138</v>
      </c>
      <c r="AH43" s="16" t="s">
        <v>138</v>
      </c>
      <c r="AI43" s="16" t="s">
        <v>138</v>
      </c>
      <c r="AJ43" s="16">
        <v>15000</v>
      </c>
      <c r="AK43" s="16">
        <v>15000</v>
      </c>
      <c r="AL43" s="16">
        <v>40000</v>
      </c>
      <c r="AM43" s="16">
        <v>40000</v>
      </c>
      <c r="AN43" s="16">
        <v>7200</v>
      </c>
      <c r="AO43" s="16">
        <v>15000</v>
      </c>
      <c r="AP43" s="16">
        <v>40000</v>
      </c>
      <c r="AQ43" s="16">
        <v>40000</v>
      </c>
      <c r="AR43" s="16" t="s">
        <v>138</v>
      </c>
      <c r="AS43" s="16" t="s">
        <v>138</v>
      </c>
      <c r="AT43" s="16">
        <v>80000</v>
      </c>
      <c r="AU43" s="16" t="s">
        <v>138</v>
      </c>
      <c r="AV43" s="16" t="s">
        <v>138</v>
      </c>
      <c r="AW43" s="16">
        <v>40000</v>
      </c>
      <c r="AX43" s="16">
        <v>5263.1578947368425</v>
      </c>
      <c r="AY43" s="16" t="s">
        <v>138</v>
      </c>
      <c r="AZ43" s="16" t="s">
        <v>138</v>
      </c>
      <c r="BA43" s="16">
        <v>7200</v>
      </c>
      <c r="BB43" s="16">
        <v>7200</v>
      </c>
      <c r="BC43" s="16" t="s">
        <v>138</v>
      </c>
      <c r="BD43" s="16">
        <v>80000</v>
      </c>
      <c r="BE43" s="16">
        <v>40000</v>
      </c>
      <c r="BF43" s="16">
        <v>7200</v>
      </c>
      <c r="BG43" s="16">
        <v>7200</v>
      </c>
      <c r="BH43" s="16">
        <v>80000</v>
      </c>
      <c r="BI43" s="16" t="s">
        <v>138</v>
      </c>
      <c r="BJ43" s="16">
        <v>15000</v>
      </c>
      <c r="BK43" s="16" t="s">
        <v>138</v>
      </c>
      <c r="BL43" s="16">
        <v>80000</v>
      </c>
      <c r="BM43" s="16">
        <v>40000</v>
      </c>
      <c r="BN43" s="16">
        <v>15000</v>
      </c>
      <c r="BO43" s="16" t="s">
        <v>138</v>
      </c>
      <c r="BP43" s="16">
        <v>40000</v>
      </c>
      <c r="BQ43" s="16">
        <v>40000</v>
      </c>
      <c r="BR43" s="16">
        <v>7200</v>
      </c>
      <c r="BS43" s="16" t="s">
        <v>138</v>
      </c>
      <c r="BT43" s="16" t="s">
        <v>138</v>
      </c>
      <c r="BU43" s="16" t="s">
        <v>138</v>
      </c>
      <c r="BV43" s="16">
        <v>80000</v>
      </c>
      <c r="BW43" s="16" t="s">
        <v>138</v>
      </c>
      <c r="BX43" s="16">
        <v>7200</v>
      </c>
      <c r="BY43" s="16">
        <v>7200</v>
      </c>
      <c r="BZ43" s="16" t="s">
        <v>138</v>
      </c>
      <c r="CA43" s="16">
        <v>7200</v>
      </c>
      <c r="CB43" s="16">
        <v>40000</v>
      </c>
      <c r="CC43" s="16">
        <v>7200</v>
      </c>
      <c r="CD43" s="16">
        <v>30000</v>
      </c>
      <c r="CE43" s="16">
        <v>7200</v>
      </c>
      <c r="CF43" s="16" t="s">
        <v>138</v>
      </c>
      <c r="CG43" s="16">
        <v>40000</v>
      </c>
      <c r="CH43" s="16" t="s">
        <v>138</v>
      </c>
      <c r="CI43" s="16" t="s">
        <v>138</v>
      </c>
      <c r="CJ43" s="16" t="s">
        <v>138</v>
      </c>
      <c r="CK43" s="16" t="s">
        <v>138</v>
      </c>
      <c r="CL43" s="16">
        <v>40000</v>
      </c>
      <c r="CM43" s="16">
        <v>40000</v>
      </c>
      <c r="CN43" s="16">
        <v>7200</v>
      </c>
      <c r="CO43" s="16">
        <v>7200</v>
      </c>
      <c r="CP43" s="16" t="s">
        <v>138</v>
      </c>
      <c r="CQ43" s="16">
        <v>7200</v>
      </c>
      <c r="CR43" s="16">
        <v>7200</v>
      </c>
      <c r="CS43" s="16">
        <v>7200</v>
      </c>
      <c r="CT43" s="16">
        <v>15000</v>
      </c>
      <c r="CU43" s="16">
        <v>7200</v>
      </c>
      <c r="CV43" s="16">
        <v>7200</v>
      </c>
      <c r="CW43" s="16">
        <v>7200</v>
      </c>
    </row>
    <row r="44" spans="1:101" s="24" customFormat="1" x14ac:dyDescent="0.25">
      <c r="A44" s="13">
        <v>81</v>
      </c>
      <c r="B44" s="16">
        <v>25000</v>
      </c>
      <c r="C44" s="16">
        <v>81000</v>
      </c>
      <c r="D44" s="16">
        <v>7200</v>
      </c>
      <c r="E44" s="16" t="s">
        <v>138</v>
      </c>
      <c r="F44" s="16">
        <v>41000</v>
      </c>
      <c r="G44" s="16">
        <v>41000</v>
      </c>
      <c r="H44" s="16">
        <v>81000</v>
      </c>
      <c r="I44" s="16">
        <v>7200</v>
      </c>
      <c r="J44" s="16">
        <v>81000</v>
      </c>
      <c r="K44" s="16">
        <v>25000</v>
      </c>
      <c r="L44" s="16" t="s">
        <v>138</v>
      </c>
      <c r="M44" s="16" t="s">
        <v>138</v>
      </c>
      <c r="N44" s="16" t="s">
        <v>138</v>
      </c>
      <c r="O44" s="16" t="s">
        <v>138</v>
      </c>
      <c r="P44" s="16" t="s">
        <v>138</v>
      </c>
      <c r="Q44" s="16" t="s">
        <v>138</v>
      </c>
      <c r="R44" s="16">
        <v>25000</v>
      </c>
      <c r="S44" s="16">
        <v>41000</v>
      </c>
      <c r="T44" s="16">
        <v>41000</v>
      </c>
      <c r="U44" s="16">
        <v>7200</v>
      </c>
      <c r="V44" s="16" t="s">
        <v>138</v>
      </c>
      <c r="W44" s="16">
        <v>81000</v>
      </c>
      <c r="X44" s="16" t="s">
        <v>138</v>
      </c>
      <c r="Y44" s="16" t="s">
        <v>138</v>
      </c>
      <c r="Z44" s="16" t="s">
        <v>138</v>
      </c>
      <c r="AA44" s="16" t="s">
        <v>138</v>
      </c>
      <c r="AB44" s="16" t="s">
        <v>138</v>
      </c>
      <c r="AC44" s="16">
        <v>7200</v>
      </c>
      <c r="AD44" s="16" t="s">
        <v>138</v>
      </c>
      <c r="AE44" s="16" t="s">
        <v>138</v>
      </c>
      <c r="AF44" s="16" t="s">
        <v>138</v>
      </c>
      <c r="AG44" s="16" t="s">
        <v>138</v>
      </c>
      <c r="AH44" s="16" t="s">
        <v>138</v>
      </c>
      <c r="AI44" s="16" t="s">
        <v>138</v>
      </c>
      <c r="AJ44" s="16">
        <v>15000</v>
      </c>
      <c r="AK44" s="16">
        <v>15000</v>
      </c>
      <c r="AL44" s="16">
        <v>41000</v>
      </c>
      <c r="AM44" s="16">
        <v>41000</v>
      </c>
      <c r="AN44" s="16">
        <v>7200</v>
      </c>
      <c r="AO44" s="16">
        <v>15000</v>
      </c>
      <c r="AP44" s="16">
        <v>41000</v>
      </c>
      <c r="AQ44" s="16">
        <v>41000</v>
      </c>
      <c r="AR44" s="16" t="s">
        <v>138</v>
      </c>
      <c r="AS44" s="16" t="s">
        <v>138</v>
      </c>
      <c r="AT44" s="16">
        <v>81000</v>
      </c>
      <c r="AU44" s="16" t="s">
        <v>138</v>
      </c>
      <c r="AV44" s="16" t="s">
        <v>138</v>
      </c>
      <c r="AW44" s="16">
        <v>41000</v>
      </c>
      <c r="AX44" s="16">
        <v>5263.1578947368425</v>
      </c>
      <c r="AY44" s="16" t="s">
        <v>138</v>
      </c>
      <c r="AZ44" s="16" t="s">
        <v>138</v>
      </c>
      <c r="BA44" s="16">
        <v>7200</v>
      </c>
      <c r="BB44" s="16">
        <v>7200</v>
      </c>
      <c r="BC44" s="16" t="s">
        <v>138</v>
      </c>
      <c r="BD44" s="16">
        <v>81000</v>
      </c>
      <c r="BE44" s="16">
        <v>41000</v>
      </c>
      <c r="BF44" s="16">
        <v>7200</v>
      </c>
      <c r="BG44" s="16">
        <v>7200</v>
      </c>
      <c r="BH44" s="16">
        <v>81000</v>
      </c>
      <c r="BI44" s="16" t="s">
        <v>138</v>
      </c>
      <c r="BJ44" s="16" t="s">
        <v>138</v>
      </c>
      <c r="BK44" s="16" t="s">
        <v>138</v>
      </c>
      <c r="BL44" s="16">
        <v>81000</v>
      </c>
      <c r="BM44" s="16">
        <v>41000</v>
      </c>
      <c r="BN44" s="16">
        <v>15000</v>
      </c>
      <c r="BO44" s="16" t="s">
        <v>138</v>
      </c>
      <c r="BP44" s="16">
        <v>41000</v>
      </c>
      <c r="BQ44" s="16">
        <v>41000</v>
      </c>
      <c r="BR44" s="16">
        <v>7200</v>
      </c>
      <c r="BS44" s="16" t="s">
        <v>138</v>
      </c>
      <c r="BT44" s="16" t="s">
        <v>138</v>
      </c>
      <c r="BU44" s="16" t="s">
        <v>138</v>
      </c>
      <c r="BV44" s="16">
        <v>81000</v>
      </c>
      <c r="BW44" s="16" t="s">
        <v>138</v>
      </c>
      <c r="BX44" s="16">
        <v>7200</v>
      </c>
      <c r="BY44" s="16">
        <v>7200</v>
      </c>
      <c r="BZ44" s="16" t="s">
        <v>138</v>
      </c>
      <c r="CA44" s="16">
        <v>7200</v>
      </c>
      <c r="CB44" s="16">
        <v>41000</v>
      </c>
      <c r="CC44" s="16">
        <v>7200</v>
      </c>
      <c r="CD44" s="16" t="s">
        <v>138</v>
      </c>
      <c r="CE44" s="16">
        <v>7200</v>
      </c>
      <c r="CF44" s="16" t="s">
        <v>138</v>
      </c>
      <c r="CG44" s="16">
        <v>41000</v>
      </c>
      <c r="CH44" s="16" t="s">
        <v>138</v>
      </c>
      <c r="CI44" s="16" t="s">
        <v>138</v>
      </c>
      <c r="CJ44" s="16" t="s">
        <v>138</v>
      </c>
      <c r="CK44" s="16" t="s">
        <v>138</v>
      </c>
      <c r="CL44" s="16">
        <v>41000</v>
      </c>
      <c r="CM44" s="16">
        <v>41000</v>
      </c>
      <c r="CN44" s="16">
        <v>7200</v>
      </c>
      <c r="CO44" s="16">
        <v>7200</v>
      </c>
      <c r="CP44" s="16">
        <v>30000</v>
      </c>
      <c r="CQ44" s="16">
        <v>7200</v>
      </c>
      <c r="CR44" s="16">
        <v>7200</v>
      </c>
      <c r="CS44" s="16">
        <v>7200</v>
      </c>
      <c r="CT44" s="16">
        <v>15000</v>
      </c>
      <c r="CU44" s="16">
        <v>7200</v>
      </c>
      <c r="CV44" s="16">
        <v>7200</v>
      </c>
      <c r="CW44" s="16">
        <v>7200</v>
      </c>
    </row>
    <row r="45" spans="1:101" s="24" customFormat="1" x14ac:dyDescent="0.25">
      <c r="A45" s="13">
        <v>82</v>
      </c>
      <c r="B45" s="16">
        <v>25000</v>
      </c>
      <c r="C45" s="16">
        <v>82000</v>
      </c>
      <c r="D45" s="16">
        <v>7200</v>
      </c>
      <c r="E45" s="16" t="s">
        <v>138</v>
      </c>
      <c r="F45" s="16">
        <v>42000</v>
      </c>
      <c r="G45" s="16">
        <v>42000</v>
      </c>
      <c r="H45" s="16">
        <v>82000</v>
      </c>
      <c r="I45" s="16">
        <v>7200</v>
      </c>
      <c r="J45" s="16">
        <v>82000</v>
      </c>
      <c r="K45" s="16">
        <v>25000</v>
      </c>
      <c r="L45" s="16" t="s">
        <v>138</v>
      </c>
      <c r="M45" s="16" t="s">
        <v>138</v>
      </c>
      <c r="N45" s="16" t="s">
        <v>138</v>
      </c>
      <c r="O45" s="16" t="s">
        <v>138</v>
      </c>
      <c r="P45" s="16" t="s">
        <v>138</v>
      </c>
      <c r="Q45" s="16" t="s">
        <v>138</v>
      </c>
      <c r="R45" s="16" t="s">
        <v>138</v>
      </c>
      <c r="S45" s="16">
        <v>42000</v>
      </c>
      <c r="T45" s="16">
        <v>42000</v>
      </c>
      <c r="U45" s="16">
        <v>7200</v>
      </c>
      <c r="V45" s="16" t="s">
        <v>138</v>
      </c>
      <c r="W45" s="16">
        <v>82000</v>
      </c>
      <c r="X45" s="16" t="s">
        <v>138</v>
      </c>
      <c r="Y45" s="16" t="s">
        <v>138</v>
      </c>
      <c r="Z45" s="16" t="s">
        <v>138</v>
      </c>
      <c r="AA45" s="16" t="s">
        <v>138</v>
      </c>
      <c r="AB45" s="16" t="s">
        <v>138</v>
      </c>
      <c r="AC45" s="16">
        <v>7200</v>
      </c>
      <c r="AD45" s="16" t="s">
        <v>138</v>
      </c>
      <c r="AE45" s="16" t="s">
        <v>138</v>
      </c>
      <c r="AF45" s="16" t="s">
        <v>138</v>
      </c>
      <c r="AG45" s="16" t="s">
        <v>138</v>
      </c>
      <c r="AH45" s="16" t="s">
        <v>138</v>
      </c>
      <c r="AI45" s="16" t="s">
        <v>138</v>
      </c>
      <c r="AJ45" s="16">
        <v>15000</v>
      </c>
      <c r="AK45" s="16">
        <v>15000</v>
      </c>
      <c r="AL45" s="16">
        <v>42000</v>
      </c>
      <c r="AM45" s="16">
        <v>42000</v>
      </c>
      <c r="AN45" s="16">
        <v>7200</v>
      </c>
      <c r="AO45" s="16">
        <v>15000</v>
      </c>
      <c r="AP45" s="16">
        <v>42000</v>
      </c>
      <c r="AQ45" s="16">
        <v>42000</v>
      </c>
      <c r="AR45" s="16" t="s">
        <v>138</v>
      </c>
      <c r="AS45" s="16" t="s">
        <v>138</v>
      </c>
      <c r="AT45" s="16">
        <v>82000</v>
      </c>
      <c r="AU45" s="16" t="s">
        <v>138</v>
      </c>
      <c r="AV45" s="16" t="s">
        <v>138</v>
      </c>
      <c r="AW45" s="16">
        <v>42000</v>
      </c>
      <c r="AX45" s="16">
        <v>5263.1578947368425</v>
      </c>
      <c r="AY45" s="16" t="s">
        <v>138</v>
      </c>
      <c r="AZ45" s="16" t="s">
        <v>138</v>
      </c>
      <c r="BA45" s="16">
        <v>7200</v>
      </c>
      <c r="BB45" s="16">
        <v>7200</v>
      </c>
      <c r="BC45" s="16" t="s">
        <v>138</v>
      </c>
      <c r="BD45" s="16">
        <v>82000</v>
      </c>
      <c r="BE45" s="16">
        <v>42000</v>
      </c>
      <c r="BF45" s="16">
        <v>7200</v>
      </c>
      <c r="BG45" s="16">
        <v>7200</v>
      </c>
      <c r="BH45" s="16">
        <v>82000</v>
      </c>
      <c r="BI45" s="16" t="s">
        <v>138</v>
      </c>
      <c r="BJ45" s="16" t="s">
        <v>138</v>
      </c>
      <c r="BK45" s="16" t="s">
        <v>138</v>
      </c>
      <c r="BL45" s="16">
        <v>82000</v>
      </c>
      <c r="BM45" s="16">
        <v>42000</v>
      </c>
      <c r="BN45" s="16">
        <v>15000</v>
      </c>
      <c r="BO45" s="16" t="s">
        <v>138</v>
      </c>
      <c r="BP45" s="16">
        <v>42000</v>
      </c>
      <c r="BQ45" s="16">
        <v>42000</v>
      </c>
      <c r="BR45" s="16">
        <v>7200</v>
      </c>
      <c r="BS45" s="16" t="s">
        <v>138</v>
      </c>
      <c r="BT45" s="16" t="s">
        <v>138</v>
      </c>
      <c r="BU45" s="16" t="s">
        <v>138</v>
      </c>
      <c r="BV45" s="16">
        <v>82000</v>
      </c>
      <c r="BW45" s="16" t="s">
        <v>138</v>
      </c>
      <c r="BX45" s="16">
        <v>7200</v>
      </c>
      <c r="BY45" s="16">
        <v>7200</v>
      </c>
      <c r="BZ45" s="16" t="s">
        <v>138</v>
      </c>
      <c r="CA45" s="16">
        <v>7200</v>
      </c>
      <c r="CB45" s="16">
        <v>42000</v>
      </c>
      <c r="CC45" s="16">
        <v>7200</v>
      </c>
      <c r="CD45" s="16">
        <v>30000</v>
      </c>
      <c r="CE45" s="16">
        <v>7200</v>
      </c>
      <c r="CF45" s="16" t="s">
        <v>138</v>
      </c>
      <c r="CG45" s="16">
        <v>42000</v>
      </c>
      <c r="CH45" s="16" t="s">
        <v>138</v>
      </c>
      <c r="CI45" s="16" t="s">
        <v>138</v>
      </c>
      <c r="CJ45" s="16" t="s">
        <v>138</v>
      </c>
      <c r="CK45" s="16" t="s">
        <v>138</v>
      </c>
      <c r="CL45" s="16">
        <v>42000</v>
      </c>
      <c r="CM45" s="16">
        <v>42000</v>
      </c>
      <c r="CN45" s="16">
        <v>7200</v>
      </c>
      <c r="CO45" s="16">
        <v>7200</v>
      </c>
      <c r="CP45" s="16" t="s">
        <v>138</v>
      </c>
      <c r="CQ45" s="16">
        <v>7200</v>
      </c>
      <c r="CR45" s="16">
        <v>7200</v>
      </c>
      <c r="CS45" s="16">
        <v>7200</v>
      </c>
      <c r="CT45" s="16">
        <v>15000</v>
      </c>
      <c r="CU45" s="16">
        <v>7200</v>
      </c>
      <c r="CV45" s="16">
        <v>7200</v>
      </c>
      <c r="CW45" s="16">
        <v>7200</v>
      </c>
    </row>
    <row r="46" spans="1:101" s="24" customFormat="1" x14ac:dyDescent="0.25">
      <c r="A46" s="13">
        <v>83</v>
      </c>
      <c r="B46" s="16">
        <v>25000</v>
      </c>
      <c r="C46" s="16">
        <v>83000</v>
      </c>
      <c r="D46" s="16">
        <v>7200</v>
      </c>
      <c r="E46" s="16" t="s">
        <v>138</v>
      </c>
      <c r="F46" s="16">
        <v>43000</v>
      </c>
      <c r="G46" s="16">
        <v>43000</v>
      </c>
      <c r="H46" s="16">
        <v>83000</v>
      </c>
      <c r="I46" s="16">
        <v>7200</v>
      </c>
      <c r="J46" s="16">
        <v>83000</v>
      </c>
      <c r="K46" s="16">
        <v>25000</v>
      </c>
      <c r="L46" s="16" t="s">
        <v>138</v>
      </c>
      <c r="M46" s="16" t="s">
        <v>138</v>
      </c>
      <c r="N46" s="16" t="s">
        <v>138</v>
      </c>
      <c r="O46" s="16" t="s">
        <v>138</v>
      </c>
      <c r="P46" s="16" t="s">
        <v>138</v>
      </c>
      <c r="Q46" s="16" t="s">
        <v>138</v>
      </c>
      <c r="R46" s="16" t="s">
        <v>138</v>
      </c>
      <c r="S46" s="16">
        <v>43000</v>
      </c>
      <c r="T46" s="16">
        <v>43000</v>
      </c>
      <c r="U46" s="16">
        <v>7200</v>
      </c>
      <c r="V46" s="16" t="s">
        <v>138</v>
      </c>
      <c r="W46" s="16">
        <v>83000</v>
      </c>
      <c r="X46" s="16" t="s">
        <v>138</v>
      </c>
      <c r="Y46" s="16" t="s">
        <v>138</v>
      </c>
      <c r="Z46" s="16" t="s">
        <v>138</v>
      </c>
      <c r="AA46" s="16" t="s">
        <v>138</v>
      </c>
      <c r="AB46" s="16" t="s">
        <v>138</v>
      </c>
      <c r="AC46" s="16">
        <v>7200</v>
      </c>
      <c r="AD46" s="16" t="s">
        <v>138</v>
      </c>
      <c r="AE46" s="16" t="s">
        <v>138</v>
      </c>
      <c r="AF46" s="16" t="s">
        <v>138</v>
      </c>
      <c r="AG46" s="16" t="s">
        <v>138</v>
      </c>
      <c r="AH46" s="16" t="s">
        <v>138</v>
      </c>
      <c r="AI46" s="16" t="s">
        <v>138</v>
      </c>
      <c r="AJ46" s="16">
        <v>15000</v>
      </c>
      <c r="AK46" s="16">
        <v>15000</v>
      </c>
      <c r="AL46" s="16">
        <v>43000</v>
      </c>
      <c r="AM46" s="16">
        <v>43000</v>
      </c>
      <c r="AN46" s="16">
        <v>7200</v>
      </c>
      <c r="AO46" s="16">
        <v>15000</v>
      </c>
      <c r="AP46" s="16">
        <v>43000</v>
      </c>
      <c r="AQ46" s="16">
        <v>43000</v>
      </c>
      <c r="AR46" s="16" t="s">
        <v>138</v>
      </c>
      <c r="AS46" s="16" t="s">
        <v>138</v>
      </c>
      <c r="AT46" s="16">
        <v>83000</v>
      </c>
      <c r="AU46" s="16" t="s">
        <v>138</v>
      </c>
      <c r="AV46" s="16" t="s">
        <v>138</v>
      </c>
      <c r="AW46" s="16">
        <v>43000</v>
      </c>
      <c r="AX46" s="16">
        <v>5263.1578947368425</v>
      </c>
      <c r="AY46" s="16" t="s">
        <v>138</v>
      </c>
      <c r="AZ46" s="16" t="s">
        <v>138</v>
      </c>
      <c r="BA46" s="16">
        <v>7200</v>
      </c>
      <c r="BB46" s="16">
        <v>7200</v>
      </c>
      <c r="BC46" s="16" t="s">
        <v>138</v>
      </c>
      <c r="BD46" s="16">
        <v>83000</v>
      </c>
      <c r="BE46" s="16">
        <v>43000</v>
      </c>
      <c r="BF46" s="16">
        <v>7200</v>
      </c>
      <c r="BG46" s="16">
        <v>7200</v>
      </c>
      <c r="BH46" s="16">
        <v>83000</v>
      </c>
      <c r="BI46" s="16" t="s">
        <v>138</v>
      </c>
      <c r="BJ46" s="16" t="s">
        <v>138</v>
      </c>
      <c r="BK46" s="16" t="s">
        <v>138</v>
      </c>
      <c r="BL46" s="16">
        <v>83000</v>
      </c>
      <c r="BM46" s="16">
        <v>43000</v>
      </c>
      <c r="BN46" s="16">
        <v>15000</v>
      </c>
      <c r="BO46" s="16" t="s">
        <v>138</v>
      </c>
      <c r="BP46" s="16">
        <v>43000</v>
      </c>
      <c r="BQ46" s="16">
        <v>43000</v>
      </c>
      <c r="BR46" s="16">
        <v>7200</v>
      </c>
      <c r="BS46" s="16" t="s">
        <v>138</v>
      </c>
      <c r="BT46" s="16" t="s">
        <v>138</v>
      </c>
      <c r="BU46" s="16" t="s">
        <v>138</v>
      </c>
      <c r="BV46" s="16">
        <v>83000</v>
      </c>
      <c r="BW46" s="16" t="s">
        <v>138</v>
      </c>
      <c r="BX46" s="16">
        <v>7200</v>
      </c>
      <c r="BY46" s="16">
        <v>7200</v>
      </c>
      <c r="BZ46" s="16" t="s">
        <v>138</v>
      </c>
      <c r="CA46" s="16">
        <v>7200</v>
      </c>
      <c r="CB46" s="16">
        <v>43000</v>
      </c>
      <c r="CC46" s="16">
        <v>7200</v>
      </c>
      <c r="CD46" s="16" t="s">
        <v>138</v>
      </c>
      <c r="CE46" s="16">
        <v>7200</v>
      </c>
      <c r="CF46" s="16" t="s">
        <v>138</v>
      </c>
      <c r="CG46" s="16">
        <v>43000</v>
      </c>
      <c r="CH46" s="16" t="s">
        <v>138</v>
      </c>
      <c r="CI46" s="16" t="s">
        <v>138</v>
      </c>
      <c r="CJ46" s="16" t="s">
        <v>138</v>
      </c>
      <c r="CK46" s="16" t="s">
        <v>138</v>
      </c>
      <c r="CL46" s="16">
        <v>43000</v>
      </c>
      <c r="CM46" s="16">
        <v>43000</v>
      </c>
      <c r="CN46" s="16">
        <v>7200</v>
      </c>
      <c r="CO46" s="16">
        <v>7200</v>
      </c>
      <c r="CP46" s="16">
        <v>30000</v>
      </c>
      <c r="CQ46" s="16">
        <v>7200</v>
      </c>
      <c r="CR46" s="16">
        <v>7200</v>
      </c>
      <c r="CS46" s="16">
        <v>7200</v>
      </c>
      <c r="CT46" s="16">
        <v>15000</v>
      </c>
      <c r="CU46" s="16">
        <v>7200</v>
      </c>
      <c r="CV46" s="16">
        <v>7200</v>
      </c>
      <c r="CW46" s="16">
        <v>7200</v>
      </c>
    </row>
    <row r="47" spans="1:101" s="24" customFormat="1" x14ac:dyDescent="0.25">
      <c r="A47" s="13">
        <v>84</v>
      </c>
      <c r="B47" s="16">
        <v>25000</v>
      </c>
      <c r="C47" s="16">
        <v>84000</v>
      </c>
      <c r="D47" s="16">
        <v>7200</v>
      </c>
      <c r="E47" s="16" t="s">
        <v>138</v>
      </c>
      <c r="F47" s="16">
        <v>44000</v>
      </c>
      <c r="G47" s="16">
        <v>44000</v>
      </c>
      <c r="H47" s="16">
        <v>84000</v>
      </c>
      <c r="I47" s="16">
        <v>7200</v>
      </c>
      <c r="J47" s="16">
        <v>84000</v>
      </c>
      <c r="K47" s="16" t="s">
        <v>138</v>
      </c>
      <c r="L47" s="16" t="s">
        <v>138</v>
      </c>
      <c r="M47" s="16" t="s">
        <v>138</v>
      </c>
      <c r="N47" s="16" t="s">
        <v>138</v>
      </c>
      <c r="O47" s="16" t="s">
        <v>138</v>
      </c>
      <c r="P47" s="16" t="s">
        <v>138</v>
      </c>
      <c r="Q47" s="16" t="s">
        <v>138</v>
      </c>
      <c r="R47" s="16" t="s">
        <v>138</v>
      </c>
      <c r="S47" s="16">
        <v>44000</v>
      </c>
      <c r="T47" s="16">
        <v>44000</v>
      </c>
      <c r="U47" s="16">
        <v>7200</v>
      </c>
      <c r="V47" s="16" t="s">
        <v>138</v>
      </c>
      <c r="W47" s="16">
        <v>84000</v>
      </c>
      <c r="X47" s="16" t="s">
        <v>138</v>
      </c>
      <c r="Y47" s="16" t="s">
        <v>138</v>
      </c>
      <c r="Z47" s="16" t="s">
        <v>138</v>
      </c>
      <c r="AA47" s="16" t="s">
        <v>138</v>
      </c>
      <c r="AB47" s="16" t="s">
        <v>138</v>
      </c>
      <c r="AC47" s="16">
        <v>7200</v>
      </c>
      <c r="AD47" s="16" t="s">
        <v>138</v>
      </c>
      <c r="AE47" s="16" t="s">
        <v>138</v>
      </c>
      <c r="AF47" s="16" t="s">
        <v>138</v>
      </c>
      <c r="AG47" s="16" t="s">
        <v>138</v>
      </c>
      <c r="AH47" s="16" t="s">
        <v>138</v>
      </c>
      <c r="AI47" s="16" t="s">
        <v>138</v>
      </c>
      <c r="AJ47" s="16">
        <v>15000</v>
      </c>
      <c r="AK47" s="16">
        <v>15000</v>
      </c>
      <c r="AL47" s="16">
        <v>44000</v>
      </c>
      <c r="AM47" s="16">
        <v>44000</v>
      </c>
      <c r="AN47" s="16">
        <v>7200</v>
      </c>
      <c r="AO47" s="16">
        <v>15000</v>
      </c>
      <c r="AP47" s="16">
        <v>44000</v>
      </c>
      <c r="AQ47" s="16">
        <v>44000</v>
      </c>
      <c r="AR47" s="16" t="s">
        <v>138</v>
      </c>
      <c r="AS47" s="16" t="s">
        <v>138</v>
      </c>
      <c r="AT47" s="16">
        <v>84000</v>
      </c>
      <c r="AU47" s="16" t="s">
        <v>138</v>
      </c>
      <c r="AV47" s="16" t="s">
        <v>138</v>
      </c>
      <c r="AW47" s="16">
        <v>44000</v>
      </c>
      <c r="AX47" s="16">
        <v>5263.1578947368425</v>
      </c>
      <c r="AY47" s="16" t="s">
        <v>138</v>
      </c>
      <c r="AZ47" s="16" t="s">
        <v>138</v>
      </c>
      <c r="BA47" s="16">
        <v>7200</v>
      </c>
      <c r="BB47" s="16">
        <v>7200</v>
      </c>
      <c r="BC47" s="16" t="s">
        <v>138</v>
      </c>
      <c r="BD47" s="16">
        <v>84000</v>
      </c>
      <c r="BE47" s="16">
        <v>44000</v>
      </c>
      <c r="BF47" s="16">
        <v>7200</v>
      </c>
      <c r="BG47" s="16">
        <v>7200</v>
      </c>
      <c r="BH47" s="16">
        <v>84000</v>
      </c>
      <c r="BI47" s="16" t="s">
        <v>138</v>
      </c>
      <c r="BJ47" s="16" t="s">
        <v>138</v>
      </c>
      <c r="BK47" s="16" t="s">
        <v>138</v>
      </c>
      <c r="BL47" s="16">
        <v>84000</v>
      </c>
      <c r="BM47" s="16">
        <v>44000</v>
      </c>
      <c r="BN47" s="16">
        <v>15000</v>
      </c>
      <c r="BO47" s="16" t="s">
        <v>138</v>
      </c>
      <c r="BP47" s="16">
        <v>44000</v>
      </c>
      <c r="BQ47" s="16">
        <v>44000</v>
      </c>
      <c r="BR47" s="16">
        <v>7200</v>
      </c>
      <c r="BS47" s="16" t="s">
        <v>138</v>
      </c>
      <c r="BT47" s="16" t="s">
        <v>138</v>
      </c>
      <c r="BU47" s="16" t="s">
        <v>138</v>
      </c>
      <c r="BV47" s="16">
        <v>84000</v>
      </c>
      <c r="BW47" s="16" t="s">
        <v>138</v>
      </c>
      <c r="BX47" s="16">
        <v>7200</v>
      </c>
      <c r="BY47" s="16">
        <v>7200</v>
      </c>
      <c r="BZ47" s="16" t="s">
        <v>138</v>
      </c>
      <c r="CA47" s="16">
        <v>7200</v>
      </c>
      <c r="CB47" s="16">
        <v>44000</v>
      </c>
      <c r="CC47" s="16">
        <v>7200</v>
      </c>
      <c r="CD47" s="16">
        <v>30000</v>
      </c>
      <c r="CE47" s="16">
        <v>7200</v>
      </c>
      <c r="CF47" s="16" t="s">
        <v>138</v>
      </c>
      <c r="CG47" s="16">
        <v>44000</v>
      </c>
      <c r="CH47" s="16" t="s">
        <v>138</v>
      </c>
      <c r="CI47" s="16" t="s">
        <v>138</v>
      </c>
      <c r="CJ47" s="16" t="s">
        <v>138</v>
      </c>
      <c r="CK47" s="16" t="s">
        <v>138</v>
      </c>
      <c r="CL47" s="16">
        <v>44000</v>
      </c>
      <c r="CM47" s="16">
        <v>44000</v>
      </c>
      <c r="CN47" s="16">
        <v>7200</v>
      </c>
      <c r="CO47" s="16">
        <v>7200</v>
      </c>
      <c r="CP47" s="16" t="s">
        <v>138</v>
      </c>
      <c r="CQ47" s="16">
        <v>7200</v>
      </c>
      <c r="CR47" s="16">
        <v>7200</v>
      </c>
      <c r="CS47" s="16">
        <v>7200</v>
      </c>
      <c r="CT47" s="16">
        <v>15000</v>
      </c>
      <c r="CU47" s="16">
        <v>7200</v>
      </c>
      <c r="CV47" s="16">
        <v>7200</v>
      </c>
      <c r="CW47" s="16">
        <v>7200</v>
      </c>
    </row>
    <row r="48" spans="1:101" s="24" customFormat="1" x14ac:dyDescent="0.25">
      <c r="A48" s="13">
        <v>85</v>
      </c>
      <c r="B48" s="16">
        <v>25000</v>
      </c>
      <c r="C48" s="16">
        <v>85000</v>
      </c>
      <c r="D48" s="16">
        <v>7200</v>
      </c>
      <c r="E48" s="16" t="s">
        <v>138</v>
      </c>
      <c r="F48" s="16">
        <v>45000</v>
      </c>
      <c r="G48" s="16">
        <v>45000</v>
      </c>
      <c r="H48" s="16">
        <v>85000</v>
      </c>
      <c r="I48" s="16">
        <v>7200</v>
      </c>
      <c r="J48" s="16">
        <v>85000</v>
      </c>
      <c r="K48" s="16" t="s">
        <v>138</v>
      </c>
      <c r="L48" s="16" t="s">
        <v>138</v>
      </c>
      <c r="M48" s="16" t="s">
        <v>138</v>
      </c>
      <c r="N48" s="16" t="s">
        <v>138</v>
      </c>
      <c r="O48" s="16" t="s">
        <v>138</v>
      </c>
      <c r="P48" s="16" t="s">
        <v>138</v>
      </c>
      <c r="Q48" s="16" t="s">
        <v>138</v>
      </c>
      <c r="R48" s="16" t="s">
        <v>138</v>
      </c>
      <c r="S48" s="16">
        <v>45000</v>
      </c>
      <c r="T48" s="16">
        <v>45000</v>
      </c>
      <c r="U48" s="16">
        <v>7200</v>
      </c>
      <c r="V48" s="16" t="s">
        <v>138</v>
      </c>
      <c r="W48" s="16">
        <v>85000</v>
      </c>
      <c r="X48" s="16" t="s">
        <v>138</v>
      </c>
      <c r="Y48" s="16" t="s">
        <v>138</v>
      </c>
      <c r="Z48" s="16" t="s">
        <v>138</v>
      </c>
      <c r="AA48" s="16" t="s">
        <v>138</v>
      </c>
      <c r="AB48" s="16" t="s">
        <v>138</v>
      </c>
      <c r="AC48" s="16">
        <v>7200</v>
      </c>
      <c r="AD48" s="16" t="s">
        <v>138</v>
      </c>
      <c r="AE48" s="16" t="s">
        <v>138</v>
      </c>
      <c r="AF48" s="16" t="s">
        <v>138</v>
      </c>
      <c r="AG48" s="16" t="s">
        <v>138</v>
      </c>
      <c r="AH48" s="16" t="s">
        <v>138</v>
      </c>
      <c r="AI48" s="16" t="s">
        <v>138</v>
      </c>
      <c r="AJ48" s="16">
        <v>15000</v>
      </c>
      <c r="AK48" s="16">
        <v>15000</v>
      </c>
      <c r="AL48" s="16">
        <v>45000</v>
      </c>
      <c r="AM48" s="16">
        <v>45000</v>
      </c>
      <c r="AN48" s="16">
        <v>7200</v>
      </c>
      <c r="AO48" s="16" t="s">
        <v>138</v>
      </c>
      <c r="AP48" s="16">
        <v>45000</v>
      </c>
      <c r="AQ48" s="16">
        <v>45000</v>
      </c>
      <c r="AR48" s="16" t="s">
        <v>138</v>
      </c>
      <c r="AS48" s="16" t="s">
        <v>138</v>
      </c>
      <c r="AT48" s="16">
        <v>85000</v>
      </c>
      <c r="AU48" s="16" t="s">
        <v>138</v>
      </c>
      <c r="AV48" s="16" t="s">
        <v>138</v>
      </c>
      <c r="AW48" s="16">
        <v>45000</v>
      </c>
      <c r="AX48" s="16">
        <v>5263.1578947368425</v>
      </c>
      <c r="AY48" s="16" t="s">
        <v>138</v>
      </c>
      <c r="AZ48" s="16" t="s">
        <v>138</v>
      </c>
      <c r="BA48" s="16">
        <v>7200</v>
      </c>
      <c r="BB48" s="16">
        <v>7200</v>
      </c>
      <c r="BC48" s="16" t="s">
        <v>138</v>
      </c>
      <c r="BD48" s="16">
        <v>85000</v>
      </c>
      <c r="BE48" s="16">
        <v>45000</v>
      </c>
      <c r="BF48" s="16">
        <v>7200</v>
      </c>
      <c r="BG48" s="16">
        <v>7200</v>
      </c>
      <c r="BH48" s="16">
        <v>85000</v>
      </c>
      <c r="BI48" s="16" t="s">
        <v>138</v>
      </c>
      <c r="BJ48" s="16" t="s">
        <v>138</v>
      </c>
      <c r="BK48" s="16" t="s">
        <v>138</v>
      </c>
      <c r="BL48" s="16">
        <v>85000</v>
      </c>
      <c r="BM48" s="16">
        <v>45000</v>
      </c>
      <c r="BN48" s="16">
        <v>15000</v>
      </c>
      <c r="BO48" s="16" t="s">
        <v>138</v>
      </c>
      <c r="BP48" s="16">
        <v>45000</v>
      </c>
      <c r="BQ48" s="16">
        <v>45000</v>
      </c>
      <c r="BR48" s="16">
        <v>7200</v>
      </c>
      <c r="BS48" s="16" t="s">
        <v>138</v>
      </c>
      <c r="BT48" s="16" t="s">
        <v>138</v>
      </c>
      <c r="BU48" s="16" t="s">
        <v>138</v>
      </c>
      <c r="BV48" s="16">
        <v>85000</v>
      </c>
      <c r="BW48" s="16" t="s">
        <v>138</v>
      </c>
      <c r="BX48" s="16">
        <v>7200</v>
      </c>
      <c r="BY48" s="16">
        <v>7200</v>
      </c>
      <c r="BZ48" s="16" t="s">
        <v>138</v>
      </c>
      <c r="CA48" s="16">
        <v>7200</v>
      </c>
      <c r="CB48" s="16">
        <v>45000</v>
      </c>
      <c r="CC48" s="16">
        <v>7200</v>
      </c>
      <c r="CD48" s="16" t="s">
        <v>138</v>
      </c>
      <c r="CE48" s="16">
        <v>7200</v>
      </c>
      <c r="CF48" s="16" t="s">
        <v>138</v>
      </c>
      <c r="CG48" s="16">
        <v>45000</v>
      </c>
      <c r="CH48" s="16" t="s">
        <v>138</v>
      </c>
      <c r="CI48" s="16" t="s">
        <v>138</v>
      </c>
      <c r="CJ48" s="16" t="s">
        <v>138</v>
      </c>
      <c r="CK48" s="16" t="s">
        <v>138</v>
      </c>
      <c r="CL48" s="16">
        <v>45000</v>
      </c>
      <c r="CM48" s="16">
        <v>45000</v>
      </c>
      <c r="CN48" s="16">
        <v>7200</v>
      </c>
      <c r="CO48" s="16">
        <v>7200</v>
      </c>
      <c r="CP48" s="16">
        <v>30000</v>
      </c>
      <c r="CQ48" s="16">
        <v>7200</v>
      </c>
      <c r="CR48" s="16">
        <v>7200</v>
      </c>
      <c r="CS48" s="16">
        <v>7200</v>
      </c>
      <c r="CT48" s="16">
        <v>15000</v>
      </c>
      <c r="CU48" s="16">
        <v>7200</v>
      </c>
      <c r="CV48" s="16">
        <v>7200</v>
      </c>
      <c r="CW48" s="16">
        <v>7200</v>
      </c>
    </row>
    <row r="49" spans="1:101" s="24" customFormat="1" x14ac:dyDescent="0.25">
      <c r="A49" s="13">
        <v>86</v>
      </c>
      <c r="B49" s="16">
        <v>25000</v>
      </c>
      <c r="C49" s="16">
        <v>86000</v>
      </c>
      <c r="D49" s="16">
        <v>7200</v>
      </c>
      <c r="E49" s="16" t="s">
        <v>138</v>
      </c>
      <c r="F49" s="16">
        <v>46000</v>
      </c>
      <c r="G49" s="16">
        <v>46000</v>
      </c>
      <c r="H49" s="16">
        <v>86000</v>
      </c>
      <c r="I49" s="16">
        <v>7200</v>
      </c>
      <c r="J49" s="16">
        <v>86000</v>
      </c>
      <c r="K49" s="16" t="s">
        <v>138</v>
      </c>
      <c r="L49" s="16" t="s">
        <v>138</v>
      </c>
      <c r="M49" s="16" t="s">
        <v>138</v>
      </c>
      <c r="N49" s="16" t="s">
        <v>138</v>
      </c>
      <c r="O49" s="16" t="s">
        <v>138</v>
      </c>
      <c r="P49" s="16" t="s">
        <v>138</v>
      </c>
      <c r="Q49" s="16" t="s">
        <v>138</v>
      </c>
      <c r="R49" s="16" t="s">
        <v>138</v>
      </c>
      <c r="S49" s="16">
        <v>46000</v>
      </c>
      <c r="T49" s="16">
        <v>46000</v>
      </c>
      <c r="U49" s="16">
        <v>7200</v>
      </c>
      <c r="V49" s="16" t="s">
        <v>138</v>
      </c>
      <c r="W49" s="16">
        <v>86000</v>
      </c>
      <c r="X49" s="16" t="s">
        <v>138</v>
      </c>
      <c r="Y49" s="16" t="s">
        <v>138</v>
      </c>
      <c r="Z49" s="16" t="s">
        <v>138</v>
      </c>
      <c r="AA49" s="16" t="s">
        <v>138</v>
      </c>
      <c r="AB49" s="16" t="s">
        <v>138</v>
      </c>
      <c r="AC49" s="16">
        <v>7200</v>
      </c>
      <c r="AD49" s="16" t="s">
        <v>138</v>
      </c>
      <c r="AE49" s="16" t="s">
        <v>138</v>
      </c>
      <c r="AF49" s="16" t="s">
        <v>138</v>
      </c>
      <c r="AG49" s="16" t="s">
        <v>138</v>
      </c>
      <c r="AH49" s="16" t="s">
        <v>138</v>
      </c>
      <c r="AI49" s="16" t="s">
        <v>138</v>
      </c>
      <c r="AJ49" s="16">
        <v>15000</v>
      </c>
      <c r="AK49" s="16">
        <v>15000</v>
      </c>
      <c r="AL49" s="16">
        <v>46000</v>
      </c>
      <c r="AM49" s="16">
        <v>46000</v>
      </c>
      <c r="AN49" s="16">
        <v>7200</v>
      </c>
      <c r="AO49" s="16" t="s">
        <v>138</v>
      </c>
      <c r="AP49" s="16">
        <v>46000</v>
      </c>
      <c r="AQ49" s="16">
        <v>46000</v>
      </c>
      <c r="AR49" s="16" t="s">
        <v>138</v>
      </c>
      <c r="AS49" s="16" t="s">
        <v>138</v>
      </c>
      <c r="AT49" s="16">
        <v>86000</v>
      </c>
      <c r="AU49" s="16" t="s">
        <v>138</v>
      </c>
      <c r="AV49" s="16" t="s">
        <v>138</v>
      </c>
      <c r="AW49" s="16">
        <v>46000</v>
      </c>
      <c r="AX49" s="16">
        <v>5263.1578947368425</v>
      </c>
      <c r="AY49" s="16" t="s">
        <v>138</v>
      </c>
      <c r="AZ49" s="16" t="s">
        <v>138</v>
      </c>
      <c r="BA49" s="16">
        <v>7200</v>
      </c>
      <c r="BB49" s="16">
        <v>7200</v>
      </c>
      <c r="BC49" s="16" t="s">
        <v>138</v>
      </c>
      <c r="BD49" s="16">
        <v>86000</v>
      </c>
      <c r="BE49" s="16">
        <v>46000</v>
      </c>
      <c r="BF49" s="16">
        <v>7200</v>
      </c>
      <c r="BG49" s="16">
        <v>7200</v>
      </c>
      <c r="BH49" s="16">
        <v>86000</v>
      </c>
      <c r="BI49" s="16" t="s">
        <v>138</v>
      </c>
      <c r="BJ49" s="16" t="s">
        <v>138</v>
      </c>
      <c r="BK49" s="16" t="s">
        <v>138</v>
      </c>
      <c r="BL49" s="16">
        <v>86000</v>
      </c>
      <c r="BM49" s="16">
        <v>46000</v>
      </c>
      <c r="BN49" s="16">
        <v>15000</v>
      </c>
      <c r="BO49" s="16" t="s">
        <v>138</v>
      </c>
      <c r="BP49" s="16">
        <v>46000</v>
      </c>
      <c r="BQ49" s="16">
        <v>46000</v>
      </c>
      <c r="BR49" s="16">
        <v>7200</v>
      </c>
      <c r="BS49" s="16" t="s">
        <v>138</v>
      </c>
      <c r="BT49" s="16" t="s">
        <v>138</v>
      </c>
      <c r="BU49" s="16" t="s">
        <v>138</v>
      </c>
      <c r="BV49" s="16">
        <v>86000</v>
      </c>
      <c r="BW49" s="16" t="s">
        <v>138</v>
      </c>
      <c r="BX49" s="16">
        <v>7200</v>
      </c>
      <c r="BY49" s="16">
        <v>7200</v>
      </c>
      <c r="BZ49" s="16" t="s">
        <v>138</v>
      </c>
      <c r="CA49" s="16">
        <v>7200</v>
      </c>
      <c r="CB49" s="16">
        <v>46000</v>
      </c>
      <c r="CC49" s="16">
        <v>7200</v>
      </c>
      <c r="CD49" s="16" t="s">
        <v>138</v>
      </c>
      <c r="CE49" s="16">
        <v>7200</v>
      </c>
      <c r="CF49" s="16" t="s">
        <v>138</v>
      </c>
      <c r="CG49" s="16">
        <v>46000</v>
      </c>
      <c r="CH49" s="16" t="s">
        <v>138</v>
      </c>
      <c r="CI49" s="16" t="s">
        <v>138</v>
      </c>
      <c r="CJ49" s="16" t="s">
        <v>138</v>
      </c>
      <c r="CK49" s="16" t="s">
        <v>138</v>
      </c>
      <c r="CL49" s="16">
        <v>46000</v>
      </c>
      <c r="CM49" s="16">
        <v>46000</v>
      </c>
      <c r="CN49" s="16">
        <v>7200</v>
      </c>
      <c r="CO49" s="16">
        <v>7200</v>
      </c>
      <c r="CP49" s="16" t="s">
        <v>138</v>
      </c>
      <c r="CQ49" s="16">
        <v>7200</v>
      </c>
      <c r="CR49" s="16">
        <v>7200</v>
      </c>
      <c r="CS49" s="16">
        <v>7200</v>
      </c>
      <c r="CT49" s="16">
        <v>15000</v>
      </c>
      <c r="CU49" s="16">
        <v>7200</v>
      </c>
      <c r="CV49" s="16">
        <v>7200</v>
      </c>
      <c r="CW49" s="16">
        <v>7200</v>
      </c>
    </row>
    <row r="50" spans="1:101" s="24" customFormat="1" x14ac:dyDescent="0.25">
      <c r="A50" s="13">
        <v>87</v>
      </c>
      <c r="B50" s="16" t="s">
        <v>138</v>
      </c>
      <c r="C50" s="16">
        <v>87000</v>
      </c>
      <c r="D50" s="16">
        <v>7200</v>
      </c>
      <c r="E50" s="16" t="s">
        <v>138</v>
      </c>
      <c r="F50" s="16">
        <v>47000</v>
      </c>
      <c r="G50" s="16">
        <v>47000</v>
      </c>
      <c r="H50" s="16">
        <v>87000</v>
      </c>
      <c r="I50" s="16">
        <v>7200</v>
      </c>
      <c r="J50" s="16">
        <v>87000</v>
      </c>
      <c r="K50" s="16" t="s">
        <v>138</v>
      </c>
      <c r="L50" s="16" t="s">
        <v>138</v>
      </c>
      <c r="M50" s="16" t="s">
        <v>138</v>
      </c>
      <c r="N50" s="16" t="s">
        <v>138</v>
      </c>
      <c r="O50" s="16" t="s">
        <v>138</v>
      </c>
      <c r="P50" s="16" t="s">
        <v>138</v>
      </c>
      <c r="Q50" s="16" t="s">
        <v>138</v>
      </c>
      <c r="R50" s="16" t="s">
        <v>138</v>
      </c>
      <c r="S50" s="16">
        <v>47000</v>
      </c>
      <c r="T50" s="16">
        <v>47000</v>
      </c>
      <c r="U50" s="16">
        <v>7200</v>
      </c>
      <c r="V50" s="16" t="s">
        <v>138</v>
      </c>
      <c r="W50" s="16">
        <v>87000</v>
      </c>
      <c r="X50" s="16" t="s">
        <v>138</v>
      </c>
      <c r="Y50" s="16" t="s">
        <v>138</v>
      </c>
      <c r="Z50" s="16" t="s">
        <v>138</v>
      </c>
      <c r="AA50" s="16" t="s">
        <v>138</v>
      </c>
      <c r="AB50" s="16" t="s">
        <v>138</v>
      </c>
      <c r="AC50" s="16">
        <v>7200</v>
      </c>
      <c r="AD50" s="16" t="s">
        <v>138</v>
      </c>
      <c r="AE50" s="16" t="s">
        <v>138</v>
      </c>
      <c r="AF50" s="16" t="s">
        <v>138</v>
      </c>
      <c r="AG50" s="16" t="s">
        <v>138</v>
      </c>
      <c r="AH50" s="16" t="s">
        <v>138</v>
      </c>
      <c r="AI50" s="16" t="s">
        <v>138</v>
      </c>
      <c r="AJ50" s="16">
        <v>15000</v>
      </c>
      <c r="AK50" s="16" t="s">
        <v>138</v>
      </c>
      <c r="AL50" s="16">
        <v>47000</v>
      </c>
      <c r="AM50" s="16">
        <v>47000</v>
      </c>
      <c r="AN50" s="16">
        <v>7200</v>
      </c>
      <c r="AO50" s="16" t="s">
        <v>138</v>
      </c>
      <c r="AP50" s="16">
        <v>47000</v>
      </c>
      <c r="AQ50" s="16">
        <v>47000</v>
      </c>
      <c r="AR50" s="16" t="s">
        <v>138</v>
      </c>
      <c r="AS50" s="16" t="s">
        <v>138</v>
      </c>
      <c r="AT50" s="16">
        <v>87000</v>
      </c>
      <c r="AU50" s="16" t="s">
        <v>138</v>
      </c>
      <c r="AV50" s="16" t="s">
        <v>138</v>
      </c>
      <c r="AW50" s="16">
        <v>47000</v>
      </c>
      <c r="AX50" s="16">
        <v>5263.1578947368425</v>
      </c>
      <c r="AY50" s="16" t="s">
        <v>138</v>
      </c>
      <c r="AZ50" s="16" t="s">
        <v>138</v>
      </c>
      <c r="BA50" s="16">
        <v>7200</v>
      </c>
      <c r="BB50" s="16">
        <v>7200</v>
      </c>
      <c r="BC50" s="16" t="s">
        <v>138</v>
      </c>
      <c r="BD50" s="16">
        <v>87000</v>
      </c>
      <c r="BE50" s="16">
        <v>47000</v>
      </c>
      <c r="BF50" s="16">
        <v>7200</v>
      </c>
      <c r="BG50" s="16">
        <v>7200</v>
      </c>
      <c r="BH50" s="16">
        <v>87000</v>
      </c>
      <c r="BI50" s="16" t="s">
        <v>138</v>
      </c>
      <c r="BJ50" s="16" t="s">
        <v>138</v>
      </c>
      <c r="BK50" s="16" t="s">
        <v>138</v>
      </c>
      <c r="BL50" s="16">
        <v>87000</v>
      </c>
      <c r="BM50" s="16">
        <v>47000</v>
      </c>
      <c r="BN50" s="16" t="s">
        <v>138</v>
      </c>
      <c r="BO50" s="16" t="s">
        <v>138</v>
      </c>
      <c r="BP50" s="16">
        <v>47000</v>
      </c>
      <c r="BQ50" s="16">
        <v>47000</v>
      </c>
      <c r="BR50" s="16">
        <v>7200</v>
      </c>
      <c r="BS50" s="16" t="s">
        <v>138</v>
      </c>
      <c r="BT50" s="16" t="s">
        <v>138</v>
      </c>
      <c r="BU50" s="16" t="s">
        <v>138</v>
      </c>
      <c r="BV50" s="16">
        <v>87000</v>
      </c>
      <c r="BW50" s="16" t="s">
        <v>138</v>
      </c>
      <c r="BX50" s="16">
        <v>7200</v>
      </c>
      <c r="BY50" s="16">
        <v>7200</v>
      </c>
      <c r="BZ50" s="16" t="s">
        <v>138</v>
      </c>
      <c r="CA50" s="16">
        <v>7200</v>
      </c>
      <c r="CB50" s="16">
        <v>47000</v>
      </c>
      <c r="CC50" s="16">
        <v>7200</v>
      </c>
      <c r="CD50" s="16" t="s">
        <v>138</v>
      </c>
      <c r="CE50" s="16">
        <v>7200</v>
      </c>
      <c r="CF50" s="16" t="s">
        <v>138</v>
      </c>
      <c r="CG50" s="16">
        <v>47000</v>
      </c>
      <c r="CH50" s="16" t="s">
        <v>138</v>
      </c>
      <c r="CI50" s="16" t="s">
        <v>138</v>
      </c>
      <c r="CJ50" s="16" t="s">
        <v>138</v>
      </c>
      <c r="CK50" s="16" t="s">
        <v>138</v>
      </c>
      <c r="CL50" s="16">
        <v>47000</v>
      </c>
      <c r="CM50" s="16">
        <v>47000</v>
      </c>
      <c r="CN50" s="16">
        <v>7200</v>
      </c>
      <c r="CO50" s="16">
        <v>7200</v>
      </c>
      <c r="CP50" s="16" t="s">
        <v>138</v>
      </c>
      <c r="CQ50" s="16">
        <v>7200</v>
      </c>
      <c r="CR50" s="16">
        <v>7200</v>
      </c>
      <c r="CS50" s="16">
        <v>7200</v>
      </c>
      <c r="CT50" s="16">
        <v>15000</v>
      </c>
      <c r="CU50" s="16">
        <v>7200</v>
      </c>
      <c r="CV50" s="16">
        <v>7200</v>
      </c>
      <c r="CW50" s="16">
        <v>7200</v>
      </c>
    </row>
    <row r="51" spans="1:101" s="24" customFormat="1" x14ac:dyDescent="0.25">
      <c r="A51" s="13">
        <v>88</v>
      </c>
      <c r="B51" s="16" t="s">
        <v>138</v>
      </c>
      <c r="C51" s="16">
        <v>88000</v>
      </c>
      <c r="D51" s="16">
        <v>7200</v>
      </c>
      <c r="E51" s="16" t="s">
        <v>138</v>
      </c>
      <c r="F51" s="16">
        <v>48000</v>
      </c>
      <c r="G51" s="16">
        <v>48000</v>
      </c>
      <c r="H51" s="16">
        <v>88000</v>
      </c>
      <c r="I51" s="16">
        <v>7200</v>
      </c>
      <c r="J51" s="16">
        <v>88000</v>
      </c>
      <c r="K51" s="16" t="s">
        <v>138</v>
      </c>
      <c r="L51" s="16" t="s">
        <v>138</v>
      </c>
      <c r="M51" s="16" t="s">
        <v>138</v>
      </c>
      <c r="N51" s="16" t="s">
        <v>138</v>
      </c>
      <c r="O51" s="16" t="s">
        <v>138</v>
      </c>
      <c r="P51" s="16" t="s">
        <v>138</v>
      </c>
      <c r="Q51" s="16" t="s">
        <v>138</v>
      </c>
      <c r="R51" s="16" t="s">
        <v>138</v>
      </c>
      <c r="S51" s="16">
        <v>48000</v>
      </c>
      <c r="T51" s="16">
        <v>48000</v>
      </c>
      <c r="U51" s="16">
        <v>7200</v>
      </c>
      <c r="V51" s="16" t="s">
        <v>138</v>
      </c>
      <c r="W51" s="16">
        <v>88000</v>
      </c>
      <c r="X51" s="16" t="s">
        <v>138</v>
      </c>
      <c r="Y51" s="16" t="s">
        <v>138</v>
      </c>
      <c r="Z51" s="16" t="s">
        <v>138</v>
      </c>
      <c r="AA51" s="16" t="s">
        <v>138</v>
      </c>
      <c r="AB51" s="16" t="s">
        <v>138</v>
      </c>
      <c r="AC51" s="16">
        <v>7200</v>
      </c>
      <c r="AD51" s="16" t="s">
        <v>138</v>
      </c>
      <c r="AE51" s="16" t="s">
        <v>138</v>
      </c>
      <c r="AF51" s="16" t="s">
        <v>138</v>
      </c>
      <c r="AG51" s="16" t="s">
        <v>138</v>
      </c>
      <c r="AH51" s="16" t="s">
        <v>138</v>
      </c>
      <c r="AI51" s="16" t="s">
        <v>138</v>
      </c>
      <c r="AJ51" s="16">
        <v>15000</v>
      </c>
      <c r="AK51" s="16" t="s">
        <v>138</v>
      </c>
      <c r="AL51" s="16">
        <v>48000</v>
      </c>
      <c r="AM51" s="16">
        <v>48000</v>
      </c>
      <c r="AN51" s="16">
        <v>7200</v>
      </c>
      <c r="AO51" s="16" t="s">
        <v>138</v>
      </c>
      <c r="AP51" s="16">
        <v>48000</v>
      </c>
      <c r="AQ51" s="16">
        <v>48000</v>
      </c>
      <c r="AR51" s="16" t="s">
        <v>138</v>
      </c>
      <c r="AS51" s="16" t="s">
        <v>138</v>
      </c>
      <c r="AT51" s="16">
        <v>88000</v>
      </c>
      <c r="AU51" s="16" t="s">
        <v>138</v>
      </c>
      <c r="AV51" s="16" t="s">
        <v>138</v>
      </c>
      <c r="AW51" s="16">
        <v>48000</v>
      </c>
      <c r="AX51" s="16">
        <v>5263.1578947368425</v>
      </c>
      <c r="AY51" s="16" t="s">
        <v>138</v>
      </c>
      <c r="AZ51" s="16" t="s">
        <v>138</v>
      </c>
      <c r="BA51" s="16">
        <v>7200</v>
      </c>
      <c r="BB51" s="16">
        <v>7200</v>
      </c>
      <c r="BC51" s="16" t="s">
        <v>138</v>
      </c>
      <c r="BD51" s="16">
        <v>88000</v>
      </c>
      <c r="BE51" s="16">
        <v>48000</v>
      </c>
      <c r="BF51" s="16">
        <v>7200</v>
      </c>
      <c r="BG51" s="16">
        <v>7200</v>
      </c>
      <c r="BH51" s="16">
        <v>88000</v>
      </c>
      <c r="BI51" s="16" t="s">
        <v>138</v>
      </c>
      <c r="BJ51" s="16" t="s">
        <v>138</v>
      </c>
      <c r="BK51" s="16" t="s">
        <v>138</v>
      </c>
      <c r="BL51" s="16">
        <v>88000</v>
      </c>
      <c r="BM51" s="16">
        <v>48000</v>
      </c>
      <c r="BN51" s="16" t="s">
        <v>138</v>
      </c>
      <c r="BO51" s="16" t="s">
        <v>138</v>
      </c>
      <c r="BP51" s="16">
        <v>48000</v>
      </c>
      <c r="BQ51" s="16">
        <v>48000</v>
      </c>
      <c r="BR51" s="16">
        <v>7200</v>
      </c>
      <c r="BS51" s="16" t="s">
        <v>138</v>
      </c>
      <c r="BT51" s="16" t="s">
        <v>138</v>
      </c>
      <c r="BU51" s="16" t="s">
        <v>138</v>
      </c>
      <c r="BV51" s="16">
        <v>88000</v>
      </c>
      <c r="BW51" s="16" t="s">
        <v>138</v>
      </c>
      <c r="BX51" s="16">
        <v>7200</v>
      </c>
      <c r="BY51" s="16">
        <v>7200</v>
      </c>
      <c r="BZ51" s="16" t="s">
        <v>138</v>
      </c>
      <c r="CA51" s="16">
        <v>7200</v>
      </c>
      <c r="CB51" s="16">
        <v>48000</v>
      </c>
      <c r="CC51" s="16">
        <v>7200</v>
      </c>
      <c r="CD51" s="16" t="s">
        <v>138</v>
      </c>
      <c r="CE51" s="16">
        <v>7200</v>
      </c>
      <c r="CF51" s="16" t="s">
        <v>138</v>
      </c>
      <c r="CG51" s="16">
        <v>48000</v>
      </c>
      <c r="CH51" s="16" t="s">
        <v>138</v>
      </c>
      <c r="CI51" s="16" t="s">
        <v>138</v>
      </c>
      <c r="CJ51" s="16" t="s">
        <v>138</v>
      </c>
      <c r="CK51" s="16" t="s">
        <v>138</v>
      </c>
      <c r="CL51" s="16">
        <v>48000</v>
      </c>
      <c r="CM51" s="16">
        <v>48000</v>
      </c>
      <c r="CN51" s="16">
        <v>7200</v>
      </c>
      <c r="CO51" s="16">
        <v>7200</v>
      </c>
      <c r="CP51" s="16" t="s">
        <v>138</v>
      </c>
      <c r="CQ51" s="16">
        <v>7200</v>
      </c>
      <c r="CR51" s="16">
        <v>7200</v>
      </c>
      <c r="CS51" s="16">
        <v>7200</v>
      </c>
      <c r="CT51" s="16">
        <v>15000</v>
      </c>
      <c r="CU51" s="16">
        <v>7200</v>
      </c>
      <c r="CV51" s="16">
        <v>7200</v>
      </c>
      <c r="CW51" s="16">
        <v>7200</v>
      </c>
    </row>
    <row r="52" spans="1:101" s="24" customFormat="1" x14ac:dyDescent="0.25">
      <c r="A52" s="13">
        <v>89</v>
      </c>
      <c r="B52" s="16" t="s">
        <v>138</v>
      </c>
      <c r="C52" s="16">
        <v>89000</v>
      </c>
      <c r="D52" s="16">
        <v>7200</v>
      </c>
      <c r="E52" s="16" t="s">
        <v>138</v>
      </c>
      <c r="F52" s="16">
        <v>49000</v>
      </c>
      <c r="G52" s="16">
        <v>49000</v>
      </c>
      <c r="H52" s="16">
        <v>89000</v>
      </c>
      <c r="I52" s="16">
        <v>7200</v>
      </c>
      <c r="J52" s="16">
        <v>89000</v>
      </c>
      <c r="K52" s="16" t="s">
        <v>138</v>
      </c>
      <c r="L52" s="16" t="s">
        <v>138</v>
      </c>
      <c r="M52" s="16" t="s">
        <v>138</v>
      </c>
      <c r="N52" s="16" t="s">
        <v>138</v>
      </c>
      <c r="O52" s="16" t="s">
        <v>138</v>
      </c>
      <c r="P52" s="16" t="s">
        <v>138</v>
      </c>
      <c r="Q52" s="16" t="s">
        <v>138</v>
      </c>
      <c r="R52" s="16" t="s">
        <v>138</v>
      </c>
      <c r="S52" s="16">
        <v>49000</v>
      </c>
      <c r="T52" s="16">
        <v>49000</v>
      </c>
      <c r="U52" s="16">
        <v>7200</v>
      </c>
      <c r="V52" s="16" t="s">
        <v>138</v>
      </c>
      <c r="W52" s="16">
        <v>89000</v>
      </c>
      <c r="X52" s="16" t="s">
        <v>138</v>
      </c>
      <c r="Y52" s="16" t="s">
        <v>138</v>
      </c>
      <c r="Z52" s="16" t="s">
        <v>138</v>
      </c>
      <c r="AA52" s="16" t="s">
        <v>138</v>
      </c>
      <c r="AB52" s="16" t="s">
        <v>138</v>
      </c>
      <c r="AC52" s="16">
        <v>7200</v>
      </c>
      <c r="AD52" s="16" t="s">
        <v>138</v>
      </c>
      <c r="AE52" s="16" t="s">
        <v>138</v>
      </c>
      <c r="AF52" s="16" t="s">
        <v>138</v>
      </c>
      <c r="AG52" s="16" t="s">
        <v>138</v>
      </c>
      <c r="AH52" s="16" t="s">
        <v>138</v>
      </c>
      <c r="AI52" s="16" t="s">
        <v>138</v>
      </c>
      <c r="AJ52" s="16">
        <v>15000</v>
      </c>
      <c r="AK52" s="16" t="s">
        <v>138</v>
      </c>
      <c r="AL52" s="16">
        <v>49000</v>
      </c>
      <c r="AM52" s="16">
        <v>49000</v>
      </c>
      <c r="AN52" s="16">
        <v>7200</v>
      </c>
      <c r="AO52" s="16" t="s">
        <v>138</v>
      </c>
      <c r="AP52" s="16">
        <v>49000</v>
      </c>
      <c r="AQ52" s="16">
        <v>49000</v>
      </c>
      <c r="AR52" s="16" t="s">
        <v>138</v>
      </c>
      <c r="AS52" s="16" t="s">
        <v>138</v>
      </c>
      <c r="AT52" s="16">
        <v>89000</v>
      </c>
      <c r="AU52" s="16" t="s">
        <v>138</v>
      </c>
      <c r="AV52" s="16" t="s">
        <v>138</v>
      </c>
      <c r="AW52" s="16">
        <v>49000</v>
      </c>
      <c r="AX52" s="16">
        <v>5263.1578947368425</v>
      </c>
      <c r="AY52" s="16" t="s">
        <v>138</v>
      </c>
      <c r="AZ52" s="16" t="s">
        <v>138</v>
      </c>
      <c r="BA52" s="16">
        <v>7200</v>
      </c>
      <c r="BB52" s="16">
        <v>7200</v>
      </c>
      <c r="BC52" s="16" t="s">
        <v>138</v>
      </c>
      <c r="BD52" s="16">
        <v>89000</v>
      </c>
      <c r="BE52" s="16">
        <v>49000</v>
      </c>
      <c r="BF52" s="16">
        <v>7200</v>
      </c>
      <c r="BG52" s="16">
        <v>7200</v>
      </c>
      <c r="BH52" s="16">
        <v>89000</v>
      </c>
      <c r="BI52" s="16" t="s">
        <v>138</v>
      </c>
      <c r="BJ52" s="16" t="s">
        <v>138</v>
      </c>
      <c r="BK52" s="16" t="s">
        <v>138</v>
      </c>
      <c r="BL52" s="16">
        <v>89000</v>
      </c>
      <c r="BM52" s="16">
        <v>49000</v>
      </c>
      <c r="BN52" s="16" t="s">
        <v>138</v>
      </c>
      <c r="BO52" s="16" t="s">
        <v>138</v>
      </c>
      <c r="BP52" s="16">
        <v>49000</v>
      </c>
      <c r="BQ52" s="16">
        <v>49000</v>
      </c>
      <c r="BR52" s="16">
        <v>7200</v>
      </c>
      <c r="BS52" s="16" t="s">
        <v>138</v>
      </c>
      <c r="BT52" s="16" t="s">
        <v>138</v>
      </c>
      <c r="BU52" s="16" t="s">
        <v>138</v>
      </c>
      <c r="BV52" s="16">
        <v>89000</v>
      </c>
      <c r="BW52" s="16" t="s">
        <v>138</v>
      </c>
      <c r="BX52" s="16">
        <v>7200</v>
      </c>
      <c r="BY52" s="16">
        <v>7200</v>
      </c>
      <c r="BZ52" s="16" t="s">
        <v>138</v>
      </c>
      <c r="CA52" s="16">
        <v>7200</v>
      </c>
      <c r="CB52" s="16">
        <v>49000</v>
      </c>
      <c r="CC52" s="16">
        <v>7200</v>
      </c>
      <c r="CD52" s="16" t="s">
        <v>138</v>
      </c>
      <c r="CE52" s="16">
        <v>7200</v>
      </c>
      <c r="CF52" s="16" t="s">
        <v>138</v>
      </c>
      <c r="CG52" s="16">
        <v>49000</v>
      </c>
      <c r="CH52" s="16" t="s">
        <v>138</v>
      </c>
      <c r="CI52" s="16" t="s">
        <v>138</v>
      </c>
      <c r="CJ52" s="16" t="s">
        <v>138</v>
      </c>
      <c r="CK52" s="16" t="s">
        <v>138</v>
      </c>
      <c r="CL52" s="16">
        <v>49000</v>
      </c>
      <c r="CM52" s="16">
        <v>49000</v>
      </c>
      <c r="CN52" s="16">
        <v>7200</v>
      </c>
      <c r="CO52" s="16">
        <v>7200</v>
      </c>
      <c r="CP52" s="16" t="s">
        <v>138</v>
      </c>
      <c r="CQ52" s="16">
        <v>7200</v>
      </c>
      <c r="CR52" s="16">
        <v>7200</v>
      </c>
      <c r="CS52" s="16">
        <v>7200</v>
      </c>
      <c r="CT52" s="16">
        <v>15000</v>
      </c>
      <c r="CU52" s="16">
        <v>7200</v>
      </c>
      <c r="CV52" s="16">
        <v>7200</v>
      </c>
      <c r="CW52" s="16">
        <v>7200</v>
      </c>
    </row>
    <row r="53" spans="1:101" s="24" customFormat="1" x14ac:dyDescent="0.25">
      <c r="A53" s="13">
        <v>90</v>
      </c>
      <c r="B53" s="16" t="s">
        <v>138</v>
      </c>
      <c r="C53" s="16">
        <v>90000</v>
      </c>
      <c r="D53" s="16">
        <v>7200</v>
      </c>
      <c r="E53" s="16" t="s">
        <v>138</v>
      </c>
      <c r="F53" s="16">
        <v>50000</v>
      </c>
      <c r="G53" s="16">
        <v>50000</v>
      </c>
      <c r="H53" s="16">
        <v>90000</v>
      </c>
      <c r="I53" s="16">
        <v>7200</v>
      </c>
      <c r="J53" s="16">
        <v>90000</v>
      </c>
      <c r="K53" s="16" t="s">
        <v>138</v>
      </c>
      <c r="L53" s="16" t="s">
        <v>138</v>
      </c>
      <c r="M53" s="16" t="s">
        <v>138</v>
      </c>
      <c r="N53" s="16" t="s">
        <v>138</v>
      </c>
      <c r="O53" s="16" t="s">
        <v>138</v>
      </c>
      <c r="P53" s="16" t="s">
        <v>138</v>
      </c>
      <c r="Q53" s="16" t="s">
        <v>138</v>
      </c>
      <c r="R53" s="16" t="s">
        <v>138</v>
      </c>
      <c r="S53" s="16">
        <v>50000</v>
      </c>
      <c r="T53" s="16">
        <v>50000</v>
      </c>
      <c r="U53" s="16">
        <v>7200</v>
      </c>
      <c r="V53" s="16" t="s">
        <v>138</v>
      </c>
      <c r="W53" s="16">
        <v>90000</v>
      </c>
      <c r="X53" s="16" t="s">
        <v>138</v>
      </c>
      <c r="Y53" s="16" t="s">
        <v>138</v>
      </c>
      <c r="Z53" s="16" t="s">
        <v>138</v>
      </c>
      <c r="AA53" s="16" t="s">
        <v>138</v>
      </c>
      <c r="AB53" s="16" t="s">
        <v>138</v>
      </c>
      <c r="AC53" s="16">
        <v>7200</v>
      </c>
      <c r="AD53" s="16" t="s">
        <v>138</v>
      </c>
      <c r="AE53" s="16" t="s">
        <v>138</v>
      </c>
      <c r="AF53" s="16" t="s">
        <v>138</v>
      </c>
      <c r="AG53" s="16" t="s">
        <v>138</v>
      </c>
      <c r="AH53" s="16" t="s">
        <v>138</v>
      </c>
      <c r="AI53" s="16" t="s">
        <v>138</v>
      </c>
      <c r="AJ53" s="16" t="s">
        <v>138</v>
      </c>
      <c r="AK53" s="16" t="s">
        <v>138</v>
      </c>
      <c r="AL53" s="16">
        <v>50000</v>
      </c>
      <c r="AM53" s="16">
        <v>50000</v>
      </c>
      <c r="AN53" s="16">
        <v>7200</v>
      </c>
      <c r="AO53" s="16" t="s">
        <v>138</v>
      </c>
      <c r="AP53" s="16">
        <v>50000</v>
      </c>
      <c r="AQ53" s="16">
        <v>50000</v>
      </c>
      <c r="AR53" s="16" t="s">
        <v>138</v>
      </c>
      <c r="AS53" s="16" t="s">
        <v>138</v>
      </c>
      <c r="AT53" s="16">
        <v>90000</v>
      </c>
      <c r="AU53" s="16" t="s">
        <v>138</v>
      </c>
      <c r="AV53" s="16" t="s">
        <v>138</v>
      </c>
      <c r="AW53" s="16">
        <v>50000</v>
      </c>
      <c r="AX53" s="16">
        <v>5263.1578947368425</v>
      </c>
      <c r="AY53" s="16" t="s">
        <v>138</v>
      </c>
      <c r="AZ53" s="16" t="s">
        <v>138</v>
      </c>
      <c r="BA53" s="16">
        <v>7200</v>
      </c>
      <c r="BB53" s="16">
        <v>7200</v>
      </c>
      <c r="BC53" s="16" t="s">
        <v>138</v>
      </c>
      <c r="BD53" s="16">
        <v>90000</v>
      </c>
      <c r="BE53" s="16">
        <v>50000</v>
      </c>
      <c r="BF53" s="16">
        <v>7200</v>
      </c>
      <c r="BG53" s="16">
        <v>7200</v>
      </c>
      <c r="BH53" s="16">
        <v>90000</v>
      </c>
      <c r="BI53" s="16" t="s">
        <v>138</v>
      </c>
      <c r="BJ53" s="16" t="s">
        <v>138</v>
      </c>
      <c r="BK53" s="16" t="s">
        <v>138</v>
      </c>
      <c r="BL53" s="16">
        <v>90000</v>
      </c>
      <c r="BM53" s="16">
        <v>50000</v>
      </c>
      <c r="BN53" s="16" t="s">
        <v>138</v>
      </c>
      <c r="BO53" s="16" t="s">
        <v>138</v>
      </c>
      <c r="BP53" s="16">
        <v>50000</v>
      </c>
      <c r="BQ53" s="16">
        <v>50000</v>
      </c>
      <c r="BR53" s="16">
        <v>7200</v>
      </c>
      <c r="BS53" s="16" t="s">
        <v>138</v>
      </c>
      <c r="BT53" s="16" t="s">
        <v>138</v>
      </c>
      <c r="BU53" s="16" t="s">
        <v>138</v>
      </c>
      <c r="BV53" s="16">
        <v>90000</v>
      </c>
      <c r="BW53" s="16" t="s">
        <v>138</v>
      </c>
      <c r="BX53" s="16">
        <v>7200</v>
      </c>
      <c r="BY53" s="16">
        <v>7200</v>
      </c>
      <c r="BZ53" s="16" t="s">
        <v>138</v>
      </c>
      <c r="CA53" s="16">
        <v>7200</v>
      </c>
      <c r="CB53" s="16">
        <v>50000</v>
      </c>
      <c r="CC53" s="16">
        <v>7200</v>
      </c>
      <c r="CD53" s="16" t="s">
        <v>138</v>
      </c>
      <c r="CE53" s="16">
        <v>7200</v>
      </c>
      <c r="CF53" s="16" t="s">
        <v>138</v>
      </c>
      <c r="CG53" s="16">
        <v>50000</v>
      </c>
      <c r="CH53" s="16" t="s">
        <v>138</v>
      </c>
      <c r="CI53" s="16" t="s">
        <v>138</v>
      </c>
      <c r="CJ53" s="16" t="s">
        <v>138</v>
      </c>
      <c r="CK53" s="16" t="s">
        <v>138</v>
      </c>
      <c r="CL53" s="16">
        <v>50000</v>
      </c>
      <c r="CM53" s="16">
        <v>50000</v>
      </c>
      <c r="CN53" s="16">
        <v>7200</v>
      </c>
      <c r="CO53" s="16">
        <v>7200</v>
      </c>
      <c r="CP53" s="16" t="s">
        <v>138</v>
      </c>
      <c r="CQ53" s="16">
        <v>7200</v>
      </c>
      <c r="CR53" s="16">
        <v>7200</v>
      </c>
      <c r="CS53" s="16">
        <v>7200</v>
      </c>
      <c r="CT53" s="16">
        <v>15000</v>
      </c>
      <c r="CU53" s="16">
        <v>7200</v>
      </c>
      <c r="CV53" s="16">
        <v>7200</v>
      </c>
      <c r="CW53" s="16">
        <v>7200</v>
      </c>
    </row>
    <row r="54" spans="1:101" s="24" customFormat="1" x14ac:dyDescent="0.25">
      <c r="A54" s="13">
        <v>91</v>
      </c>
      <c r="B54" s="16" t="s">
        <v>138</v>
      </c>
      <c r="C54" s="16">
        <v>91000</v>
      </c>
      <c r="D54" s="16">
        <v>7200</v>
      </c>
      <c r="E54" s="16" t="s">
        <v>138</v>
      </c>
      <c r="F54" s="16">
        <v>51000</v>
      </c>
      <c r="G54" s="16">
        <v>51000</v>
      </c>
      <c r="H54" s="16">
        <v>91000</v>
      </c>
      <c r="I54" s="16">
        <v>7200</v>
      </c>
      <c r="J54" s="16">
        <v>91000</v>
      </c>
      <c r="K54" s="16" t="s">
        <v>138</v>
      </c>
      <c r="L54" s="16" t="s">
        <v>138</v>
      </c>
      <c r="M54" s="16" t="s">
        <v>138</v>
      </c>
      <c r="N54" s="16" t="s">
        <v>138</v>
      </c>
      <c r="O54" s="16" t="s">
        <v>138</v>
      </c>
      <c r="P54" s="16" t="s">
        <v>138</v>
      </c>
      <c r="Q54" s="16" t="s">
        <v>138</v>
      </c>
      <c r="R54" s="16" t="s">
        <v>138</v>
      </c>
      <c r="S54" s="16">
        <v>51000</v>
      </c>
      <c r="T54" s="16">
        <v>51000</v>
      </c>
      <c r="U54" s="16">
        <v>7200</v>
      </c>
      <c r="V54" s="16" t="s">
        <v>138</v>
      </c>
      <c r="W54" s="16">
        <v>91000</v>
      </c>
      <c r="X54" s="16" t="s">
        <v>138</v>
      </c>
      <c r="Y54" s="16" t="s">
        <v>138</v>
      </c>
      <c r="Z54" s="16" t="s">
        <v>138</v>
      </c>
      <c r="AA54" s="16" t="s">
        <v>138</v>
      </c>
      <c r="AB54" s="16" t="s">
        <v>138</v>
      </c>
      <c r="AC54" s="16">
        <v>7200</v>
      </c>
      <c r="AD54" s="16" t="s">
        <v>138</v>
      </c>
      <c r="AE54" s="16" t="s">
        <v>138</v>
      </c>
      <c r="AF54" s="16" t="s">
        <v>138</v>
      </c>
      <c r="AG54" s="16" t="s">
        <v>138</v>
      </c>
      <c r="AH54" s="16" t="s">
        <v>138</v>
      </c>
      <c r="AI54" s="16" t="s">
        <v>138</v>
      </c>
      <c r="AJ54" s="16" t="s">
        <v>138</v>
      </c>
      <c r="AK54" s="16" t="s">
        <v>138</v>
      </c>
      <c r="AL54" s="16">
        <v>51000</v>
      </c>
      <c r="AM54" s="16">
        <v>51000</v>
      </c>
      <c r="AN54" s="16">
        <v>7200</v>
      </c>
      <c r="AO54" s="16" t="s">
        <v>138</v>
      </c>
      <c r="AP54" s="16">
        <v>51000</v>
      </c>
      <c r="AQ54" s="16">
        <v>51000</v>
      </c>
      <c r="AR54" s="16" t="s">
        <v>138</v>
      </c>
      <c r="AS54" s="16" t="s">
        <v>138</v>
      </c>
      <c r="AT54" s="16">
        <v>91000</v>
      </c>
      <c r="AU54" s="16" t="s">
        <v>138</v>
      </c>
      <c r="AV54" s="16" t="s">
        <v>138</v>
      </c>
      <c r="AW54" s="16">
        <v>51000</v>
      </c>
      <c r="AX54" s="16">
        <v>5263.1578947368425</v>
      </c>
      <c r="AY54" s="16" t="s">
        <v>138</v>
      </c>
      <c r="AZ54" s="16" t="s">
        <v>138</v>
      </c>
      <c r="BA54" s="16">
        <v>7200</v>
      </c>
      <c r="BB54" s="16">
        <v>7200</v>
      </c>
      <c r="BC54" s="16" t="s">
        <v>138</v>
      </c>
      <c r="BD54" s="16">
        <v>91000</v>
      </c>
      <c r="BE54" s="16">
        <v>51000</v>
      </c>
      <c r="BF54" s="16">
        <v>7200</v>
      </c>
      <c r="BG54" s="16">
        <v>7200</v>
      </c>
      <c r="BH54" s="16">
        <v>91000</v>
      </c>
      <c r="BI54" s="16" t="s">
        <v>138</v>
      </c>
      <c r="BJ54" s="16" t="s">
        <v>138</v>
      </c>
      <c r="BK54" s="16" t="s">
        <v>138</v>
      </c>
      <c r="BL54" s="16">
        <v>91000</v>
      </c>
      <c r="BM54" s="16">
        <v>51000</v>
      </c>
      <c r="BN54" s="16" t="s">
        <v>138</v>
      </c>
      <c r="BO54" s="16" t="s">
        <v>138</v>
      </c>
      <c r="BP54" s="16">
        <v>51000</v>
      </c>
      <c r="BQ54" s="16">
        <v>51000</v>
      </c>
      <c r="BR54" s="16">
        <v>7200</v>
      </c>
      <c r="BS54" s="16" t="s">
        <v>138</v>
      </c>
      <c r="BT54" s="16" t="s">
        <v>138</v>
      </c>
      <c r="BU54" s="16" t="s">
        <v>138</v>
      </c>
      <c r="BV54" s="16">
        <v>91000</v>
      </c>
      <c r="BW54" s="16" t="s">
        <v>138</v>
      </c>
      <c r="BX54" s="16">
        <v>7200</v>
      </c>
      <c r="BY54" s="16">
        <v>7200</v>
      </c>
      <c r="BZ54" s="16" t="s">
        <v>138</v>
      </c>
      <c r="CA54" s="16">
        <v>7200</v>
      </c>
      <c r="CB54" s="16">
        <v>51000</v>
      </c>
      <c r="CC54" s="16">
        <v>7200</v>
      </c>
      <c r="CD54" s="16" t="s">
        <v>138</v>
      </c>
      <c r="CE54" s="16">
        <v>7200</v>
      </c>
      <c r="CF54" s="16" t="s">
        <v>138</v>
      </c>
      <c r="CG54" s="16">
        <v>51000</v>
      </c>
      <c r="CH54" s="16" t="s">
        <v>138</v>
      </c>
      <c r="CI54" s="16" t="s">
        <v>138</v>
      </c>
      <c r="CJ54" s="16" t="s">
        <v>138</v>
      </c>
      <c r="CK54" s="16" t="s">
        <v>138</v>
      </c>
      <c r="CL54" s="16">
        <v>51000</v>
      </c>
      <c r="CM54" s="16">
        <v>51000</v>
      </c>
      <c r="CN54" s="16">
        <v>7200</v>
      </c>
      <c r="CO54" s="16">
        <v>7200</v>
      </c>
      <c r="CP54" s="16" t="s">
        <v>138</v>
      </c>
      <c r="CQ54" s="16">
        <v>7200</v>
      </c>
      <c r="CR54" s="16">
        <v>7200</v>
      </c>
      <c r="CS54" s="16">
        <v>7200</v>
      </c>
      <c r="CT54" s="16">
        <v>15000</v>
      </c>
      <c r="CU54" s="16">
        <v>7200</v>
      </c>
      <c r="CV54" s="16">
        <v>7200</v>
      </c>
      <c r="CW54" s="16">
        <v>7200</v>
      </c>
    </row>
    <row r="55" spans="1:101" s="24" customFormat="1" x14ac:dyDescent="0.25">
      <c r="A55" s="13">
        <v>92</v>
      </c>
      <c r="B55" s="16" t="s">
        <v>138</v>
      </c>
      <c r="C55" s="16">
        <v>92000</v>
      </c>
      <c r="D55" s="16">
        <v>7200</v>
      </c>
      <c r="E55" s="16" t="s">
        <v>138</v>
      </c>
      <c r="F55" s="16">
        <v>52000</v>
      </c>
      <c r="G55" s="16">
        <v>52000</v>
      </c>
      <c r="H55" s="16">
        <v>92000</v>
      </c>
      <c r="I55" s="16">
        <v>7200</v>
      </c>
      <c r="J55" s="16">
        <v>92000</v>
      </c>
      <c r="K55" s="16" t="s">
        <v>138</v>
      </c>
      <c r="L55" s="16" t="s">
        <v>138</v>
      </c>
      <c r="M55" s="16" t="s">
        <v>138</v>
      </c>
      <c r="N55" s="16" t="s">
        <v>138</v>
      </c>
      <c r="O55" s="16" t="s">
        <v>138</v>
      </c>
      <c r="P55" s="16" t="s">
        <v>138</v>
      </c>
      <c r="Q55" s="16" t="s">
        <v>138</v>
      </c>
      <c r="R55" s="16" t="s">
        <v>138</v>
      </c>
      <c r="S55" s="16">
        <v>52000</v>
      </c>
      <c r="T55" s="16">
        <v>52000</v>
      </c>
      <c r="U55" s="16">
        <v>7200</v>
      </c>
      <c r="V55" s="16" t="s">
        <v>138</v>
      </c>
      <c r="W55" s="16">
        <v>92000</v>
      </c>
      <c r="X55" s="16" t="s">
        <v>138</v>
      </c>
      <c r="Y55" s="16" t="s">
        <v>138</v>
      </c>
      <c r="Z55" s="16" t="s">
        <v>138</v>
      </c>
      <c r="AA55" s="16" t="s">
        <v>138</v>
      </c>
      <c r="AB55" s="16" t="s">
        <v>138</v>
      </c>
      <c r="AC55" s="16">
        <v>7200</v>
      </c>
      <c r="AD55" s="16" t="s">
        <v>138</v>
      </c>
      <c r="AE55" s="16" t="s">
        <v>138</v>
      </c>
      <c r="AF55" s="16" t="s">
        <v>138</v>
      </c>
      <c r="AG55" s="16" t="s">
        <v>138</v>
      </c>
      <c r="AH55" s="16" t="s">
        <v>138</v>
      </c>
      <c r="AI55" s="16" t="s">
        <v>138</v>
      </c>
      <c r="AJ55" s="16" t="s">
        <v>138</v>
      </c>
      <c r="AK55" s="16" t="s">
        <v>138</v>
      </c>
      <c r="AL55" s="16">
        <v>52000</v>
      </c>
      <c r="AM55" s="16">
        <v>52000</v>
      </c>
      <c r="AN55" s="16">
        <v>7200</v>
      </c>
      <c r="AO55" s="16" t="s">
        <v>138</v>
      </c>
      <c r="AP55" s="16">
        <v>52000</v>
      </c>
      <c r="AQ55" s="16">
        <v>52000</v>
      </c>
      <c r="AR55" s="16" t="s">
        <v>138</v>
      </c>
      <c r="AS55" s="16" t="s">
        <v>138</v>
      </c>
      <c r="AT55" s="16">
        <v>92000</v>
      </c>
      <c r="AU55" s="16" t="s">
        <v>138</v>
      </c>
      <c r="AV55" s="16" t="s">
        <v>138</v>
      </c>
      <c r="AW55" s="16">
        <v>52000</v>
      </c>
      <c r="AX55" s="16" t="s">
        <v>138</v>
      </c>
      <c r="AY55" s="16" t="s">
        <v>138</v>
      </c>
      <c r="AZ55" s="16" t="s">
        <v>138</v>
      </c>
      <c r="BA55" s="16">
        <v>7200</v>
      </c>
      <c r="BB55" s="16">
        <v>7200</v>
      </c>
      <c r="BC55" s="16" t="s">
        <v>138</v>
      </c>
      <c r="BD55" s="16">
        <v>92000</v>
      </c>
      <c r="BE55" s="16">
        <v>52000</v>
      </c>
      <c r="BF55" s="16">
        <v>7200</v>
      </c>
      <c r="BG55" s="16">
        <v>7200</v>
      </c>
      <c r="BH55" s="16">
        <v>92000</v>
      </c>
      <c r="BI55" s="16" t="s">
        <v>138</v>
      </c>
      <c r="BJ55" s="16" t="s">
        <v>138</v>
      </c>
      <c r="BK55" s="16" t="s">
        <v>138</v>
      </c>
      <c r="BL55" s="16">
        <v>92000</v>
      </c>
      <c r="BM55" s="16">
        <v>52000</v>
      </c>
      <c r="BN55" s="16" t="s">
        <v>138</v>
      </c>
      <c r="BO55" s="16" t="s">
        <v>138</v>
      </c>
      <c r="BP55" s="16">
        <v>52000</v>
      </c>
      <c r="BQ55" s="16">
        <v>52000</v>
      </c>
      <c r="BR55" s="16">
        <v>7200</v>
      </c>
      <c r="BS55" s="16" t="s">
        <v>138</v>
      </c>
      <c r="BT55" s="16" t="s">
        <v>138</v>
      </c>
      <c r="BU55" s="16" t="s">
        <v>138</v>
      </c>
      <c r="BV55" s="16">
        <v>92000</v>
      </c>
      <c r="BW55" s="16" t="s">
        <v>138</v>
      </c>
      <c r="BX55" s="16">
        <v>7200</v>
      </c>
      <c r="BY55" s="16">
        <v>7200</v>
      </c>
      <c r="BZ55" s="16" t="s">
        <v>138</v>
      </c>
      <c r="CA55" s="16">
        <v>7200</v>
      </c>
      <c r="CB55" s="16">
        <v>52000</v>
      </c>
      <c r="CC55" s="16">
        <v>7200</v>
      </c>
      <c r="CD55" s="16" t="s">
        <v>138</v>
      </c>
      <c r="CE55" s="16">
        <v>7200</v>
      </c>
      <c r="CF55" s="16" t="s">
        <v>138</v>
      </c>
      <c r="CG55" s="16">
        <v>52000</v>
      </c>
      <c r="CH55" s="16" t="s">
        <v>138</v>
      </c>
      <c r="CI55" s="16" t="s">
        <v>138</v>
      </c>
      <c r="CJ55" s="16" t="s">
        <v>138</v>
      </c>
      <c r="CK55" s="16" t="s">
        <v>138</v>
      </c>
      <c r="CL55" s="16">
        <v>52000</v>
      </c>
      <c r="CM55" s="16">
        <v>52000</v>
      </c>
      <c r="CN55" s="16">
        <v>7200</v>
      </c>
      <c r="CO55" s="16">
        <v>7200</v>
      </c>
      <c r="CP55" s="16" t="s">
        <v>138</v>
      </c>
      <c r="CQ55" s="16">
        <v>7200</v>
      </c>
      <c r="CR55" s="16">
        <v>7200</v>
      </c>
      <c r="CS55" s="16">
        <v>7200</v>
      </c>
      <c r="CT55" s="16">
        <v>15000</v>
      </c>
      <c r="CU55" s="16">
        <v>7200</v>
      </c>
      <c r="CV55" s="16">
        <v>7200</v>
      </c>
      <c r="CW55" s="16">
        <v>7200</v>
      </c>
    </row>
    <row r="56" spans="1:101" s="24" customFormat="1" x14ac:dyDescent="0.25">
      <c r="A56" s="13">
        <v>93</v>
      </c>
      <c r="B56" s="16" t="s">
        <v>138</v>
      </c>
      <c r="C56" s="16">
        <v>93000</v>
      </c>
      <c r="D56" s="16">
        <v>7200</v>
      </c>
      <c r="E56" s="16" t="s">
        <v>138</v>
      </c>
      <c r="F56" s="16">
        <v>53000</v>
      </c>
      <c r="G56" s="16">
        <v>53000</v>
      </c>
      <c r="H56" s="16">
        <v>93000</v>
      </c>
      <c r="I56" s="16">
        <v>7200</v>
      </c>
      <c r="J56" s="16">
        <v>93000</v>
      </c>
      <c r="K56" s="16" t="s">
        <v>138</v>
      </c>
      <c r="L56" s="16" t="s">
        <v>138</v>
      </c>
      <c r="M56" s="16" t="s">
        <v>138</v>
      </c>
      <c r="N56" s="16" t="s">
        <v>138</v>
      </c>
      <c r="O56" s="16" t="s">
        <v>138</v>
      </c>
      <c r="P56" s="16" t="s">
        <v>138</v>
      </c>
      <c r="Q56" s="16" t="s">
        <v>138</v>
      </c>
      <c r="R56" s="16" t="s">
        <v>138</v>
      </c>
      <c r="S56" s="16">
        <v>53000</v>
      </c>
      <c r="T56" s="16">
        <v>53000</v>
      </c>
      <c r="U56" s="16">
        <v>7200</v>
      </c>
      <c r="V56" s="16" t="s">
        <v>138</v>
      </c>
      <c r="W56" s="16">
        <v>93000</v>
      </c>
      <c r="X56" s="16" t="s">
        <v>138</v>
      </c>
      <c r="Y56" s="16" t="s">
        <v>138</v>
      </c>
      <c r="Z56" s="16" t="s">
        <v>138</v>
      </c>
      <c r="AA56" s="16" t="s">
        <v>138</v>
      </c>
      <c r="AB56" s="16" t="s">
        <v>138</v>
      </c>
      <c r="AC56" s="16">
        <v>7200</v>
      </c>
      <c r="AD56" s="16" t="s">
        <v>138</v>
      </c>
      <c r="AE56" s="16" t="s">
        <v>138</v>
      </c>
      <c r="AF56" s="16" t="s">
        <v>138</v>
      </c>
      <c r="AG56" s="16" t="s">
        <v>138</v>
      </c>
      <c r="AH56" s="16" t="s">
        <v>138</v>
      </c>
      <c r="AI56" s="16" t="s">
        <v>138</v>
      </c>
      <c r="AJ56" s="16" t="s">
        <v>138</v>
      </c>
      <c r="AK56" s="16" t="s">
        <v>138</v>
      </c>
      <c r="AL56" s="16">
        <v>53000</v>
      </c>
      <c r="AM56" s="16">
        <v>53000</v>
      </c>
      <c r="AN56" s="16">
        <v>7200</v>
      </c>
      <c r="AO56" s="16" t="s">
        <v>138</v>
      </c>
      <c r="AP56" s="16">
        <v>53000</v>
      </c>
      <c r="AQ56" s="16">
        <v>53000</v>
      </c>
      <c r="AR56" s="16" t="s">
        <v>138</v>
      </c>
      <c r="AS56" s="16" t="s">
        <v>138</v>
      </c>
      <c r="AT56" s="16">
        <v>93000</v>
      </c>
      <c r="AU56" s="16" t="s">
        <v>138</v>
      </c>
      <c r="AV56" s="16" t="s">
        <v>138</v>
      </c>
      <c r="AW56" s="16">
        <v>53000</v>
      </c>
      <c r="AX56" s="16" t="s">
        <v>138</v>
      </c>
      <c r="AY56" s="16" t="s">
        <v>138</v>
      </c>
      <c r="AZ56" s="16" t="s">
        <v>138</v>
      </c>
      <c r="BA56" s="16">
        <v>7200</v>
      </c>
      <c r="BB56" s="16">
        <v>7200</v>
      </c>
      <c r="BC56" s="16" t="s">
        <v>138</v>
      </c>
      <c r="BD56" s="16">
        <v>93000</v>
      </c>
      <c r="BE56" s="16">
        <v>53000</v>
      </c>
      <c r="BF56" s="16">
        <v>7200</v>
      </c>
      <c r="BG56" s="16">
        <v>7200</v>
      </c>
      <c r="BH56" s="16">
        <v>93000</v>
      </c>
      <c r="BI56" s="16" t="s">
        <v>138</v>
      </c>
      <c r="BJ56" s="16" t="s">
        <v>138</v>
      </c>
      <c r="BK56" s="16" t="s">
        <v>138</v>
      </c>
      <c r="BL56" s="16">
        <v>93000</v>
      </c>
      <c r="BM56" s="16">
        <v>53000</v>
      </c>
      <c r="BN56" s="16" t="s">
        <v>138</v>
      </c>
      <c r="BO56" s="16" t="s">
        <v>138</v>
      </c>
      <c r="BP56" s="16">
        <v>53000</v>
      </c>
      <c r="BQ56" s="16">
        <v>53000</v>
      </c>
      <c r="BR56" s="16">
        <v>7200</v>
      </c>
      <c r="BS56" s="16" t="s">
        <v>138</v>
      </c>
      <c r="BT56" s="16" t="s">
        <v>138</v>
      </c>
      <c r="BU56" s="16" t="s">
        <v>138</v>
      </c>
      <c r="BV56" s="16">
        <v>93000</v>
      </c>
      <c r="BW56" s="16" t="s">
        <v>138</v>
      </c>
      <c r="BX56" s="16">
        <v>7200</v>
      </c>
      <c r="BY56" s="16">
        <v>7200</v>
      </c>
      <c r="BZ56" s="16" t="s">
        <v>138</v>
      </c>
      <c r="CA56" s="16">
        <v>7200</v>
      </c>
      <c r="CB56" s="16">
        <v>53000</v>
      </c>
      <c r="CC56" s="16">
        <v>7200</v>
      </c>
      <c r="CD56" s="16" t="s">
        <v>138</v>
      </c>
      <c r="CE56" s="16">
        <v>7200</v>
      </c>
      <c r="CF56" s="16" t="s">
        <v>138</v>
      </c>
      <c r="CG56" s="16">
        <v>53000</v>
      </c>
      <c r="CH56" s="16" t="s">
        <v>138</v>
      </c>
      <c r="CI56" s="16" t="s">
        <v>138</v>
      </c>
      <c r="CJ56" s="16" t="s">
        <v>138</v>
      </c>
      <c r="CK56" s="16" t="s">
        <v>138</v>
      </c>
      <c r="CL56" s="16">
        <v>53000</v>
      </c>
      <c r="CM56" s="16">
        <v>53000</v>
      </c>
      <c r="CN56" s="16">
        <v>7200</v>
      </c>
      <c r="CO56" s="16">
        <v>7200</v>
      </c>
      <c r="CP56" s="16" t="s">
        <v>138</v>
      </c>
      <c r="CQ56" s="16">
        <v>7200</v>
      </c>
      <c r="CR56" s="16">
        <v>7200</v>
      </c>
      <c r="CS56" s="16">
        <v>7200</v>
      </c>
      <c r="CT56" s="16" t="s">
        <v>138</v>
      </c>
      <c r="CU56" s="16">
        <v>7200</v>
      </c>
      <c r="CV56" s="16">
        <v>7200</v>
      </c>
      <c r="CW56" s="16">
        <v>7200</v>
      </c>
    </row>
    <row r="57" spans="1:101" s="24" customFormat="1" x14ac:dyDescent="0.25">
      <c r="A57" s="13">
        <v>94</v>
      </c>
      <c r="B57" s="16" t="s">
        <v>138</v>
      </c>
      <c r="C57" s="16">
        <v>94000</v>
      </c>
      <c r="D57" s="16">
        <v>7200</v>
      </c>
      <c r="E57" s="16" t="s">
        <v>138</v>
      </c>
      <c r="F57" s="16">
        <v>54000</v>
      </c>
      <c r="G57" s="16">
        <v>54000</v>
      </c>
      <c r="H57" s="16">
        <v>94000</v>
      </c>
      <c r="I57" s="16">
        <v>7200</v>
      </c>
      <c r="J57" s="16">
        <v>94000</v>
      </c>
      <c r="K57" s="16" t="s">
        <v>138</v>
      </c>
      <c r="L57" s="16" t="s">
        <v>138</v>
      </c>
      <c r="M57" s="16" t="s">
        <v>138</v>
      </c>
      <c r="N57" s="16" t="s">
        <v>138</v>
      </c>
      <c r="O57" s="16" t="s">
        <v>138</v>
      </c>
      <c r="P57" s="16" t="s">
        <v>138</v>
      </c>
      <c r="Q57" s="16" t="s">
        <v>138</v>
      </c>
      <c r="R57" s="16" t="s">
        <v>138</v>
      </c>
      <c r="S57" s="16">
        <v>54000</v>
      </c>
      <c r="T57" s="16">
        <v>54000</v>
      </c>
      <c r="U57" s="16">
        <v>7200</v>
      </c>
      <c r="V57" s="16" t="s">
        <v>138</v>
      </c>
      <c r="W57" s="16">
        <v>94000</v>
      </c>
      <c r="X57" s="16" t="s">
        <v>138</v>
      </c>
      <c r="Y57" s="16" t="s">
        <v>138</v>
      </c>
      <c r="Z57" s="16" t="s">
        <v>138</v>
      </c>
      <c r="AA57" s="16" t="s">
        <v>138</v>
      </c>
      <c r="AB57" s="16" t="s">
        <v>138</v>
      </c>
      <c r="AC57" s="16">
        <v>7200</v>
      </c>
      <c r="AD57" s="16" t="s">
        <v>138</v>
      </c>
      <c r="AE57" s="16" t="s">
        <v>138</v>
      </c>
      <c r="AF57" s="16" t="s">
        <v>138</v>
      </c>
      <c r="AG57" s="16" t="s">
        <v>138</v>
      </c>
      <c r="AH57" s="16" t="s">
        <v>138</v>
      </c>
      <c r="AI57" s="16" t="s">
        <v>138</v>
      </c>
      <c r="AJ57" s="16" t="s">
        <v>138</v>
      </c>
      <c r="AK57" s="16" t="s">
        <v>138</v>
      </c>
      <c r="AL57" s="16">
        <v>54000</v>
      </c>
      <c r="AM57" s="16">
        <v>54000</v>
      </c>
      <c r="AN57" s="16">
        <v>7200</v>
      </c>
      <c r="AO57" s="16" t="s">
        <v>138</v>
      </c>
      <c r="AP57" s="16">
        <v>54000</v>
      </c>
      <c r="AQ57" s="16">
        <v>54000</v>
      </c>
      <c r="AR57" s="16" t="s">
        <v>138</v>
      </c>
      <c r="AS57" s="16" t="s">
        <v>138</v>
      </c>
      <c r="AT57" s="16">
        <v>94000</v>
      </c>
      <c r="AU57" s="16" t="s">
        <v>138</v>
      </c>
      <c r="AV57" s="16" t="s">
        <v>138</v>
      </c>
      <c r="AW57" s="16">
        <v>54000</v>
      </c>
      <c r="AX57" s="16" t="s">
        <v>138</v>
      </c>
      <c r="AY57" s="16" t="s">
        <v>138</v>
      </c>
      <c r="AZ57" s="16" t="s">
        <v>138</v>
      </c>
      <c r="BA57" s="16">
        <v>7200</v>
      </c>
      <c r="BB57" s="16">
        <v>7200</v>
      </c>
      <c r="BC57" s="16" t="s">
        <v>138</v>
      </c>
      <c r="BD57" s="16">
        <v>94000</v>
      </c>
      <c r="BE57" s="16">
        <v>54000</v>
      </c>
      <c r="BF57" s="16">
        <v>7200</v>
      </c>
      <c r="BG57" s="16">
        <v>7200</v>
      </c>
      <c r="BH57" s="16">
        <v>94000</v>
      </c>
      <c r="BI57" s="16" t="s">
        <v>138</v>
      </c>
      <c r="BJ57" s="16" t="s">
        <v>138</v>
      </c>
      <c r="BK57" s="16" t="s">
        <v>138</v>
      </c>
      <c r="BL57" s="16">
        <v>94000</v>
      </c>
      <c r="BM57" s="16">
        <v>54000</v>
      </c>
      <c r="BN57" s="16" t="s">
        <v>138</v>
      </c>
      <c r="BO57" s="16" t="s">
        <v>138</v>
      </c>
      <c r="BP57" s="16">
        <v>54000</v>
      </c>
      <c r="BQ57" s="16">
        <v>54000</v>
      </c>
      <c r="BR57" s="16">
        <v>7200</v>
      </c>
      <c r="BS57" s="16" t="s">
        <v>138</v>
      </c>
      <c r="BT57" s="16" t="s">
        <v>138</v>
      </c>
      <c r="BU57" s="16" t="s">
        <v>138</v>
      </c>
      <c r="BV57" s="16">
        <v>94000</v>
      </c>
      <c r="BW57" s="16" t="s">
        <v>138</v>
      </c>
      <c r="BX57" s="16">
        <v>7200</v>
      </c>
      <c r="BY57" s="16">
        <v>7200</v>
      </c>
      <c r="BZ57" s="16" t="s">
        <v>138</v>
      </c>
      <c r="CA57" s="16">
        <v>7200</v>
      </c>
      <c r="CB57" s="16">
        <v>54000</v>
      </c>
      <c r="CC57" s="16">
        <v>7200</v>
      </c>
      <c r="CD57" s="16" t="s">
        <v>138</v>
      </c>
      <c r="CE57" s="16">
        <v>7200</v>
      </c>
      <c r="CF57" s="16" t="s">
        <v>138</v>
      </c>
      <c r="CG57" s="16">
        <v>54000</v>
      </c>
      <c r="CH57" s="16" t="s">
        <v>138</v>
      </c>
      <c r="CI57" s="16" t="s">
        <v>138</v>
      </c>
      <c r="CJ57" s="16" t="s">
        <v>138</v>
      </c>
      <c r="CK57" s="16" t="s">
        <v>138</v>
      </c>
      <c r="CL57" s="16">
        <v>54000</v>
      </c>
      <c r="CM57" s="16">
        <v>54000</v>
      </c>
      <c r="CN57" s="16">
        <v>7200</v>
      </c>
      <c r="CO57" s="16">
        <v>7200</v>
      </c>
      <c r="CP57" s="16" t="s">
        <v>138</v>
      </c>
      <c r="CQ57" s="16">
        <v>7200</v>
      </c>
      <c r="CR57" s="16">
        <v>7200</v>
      </c>
      <c r="CS57" s="16">
        <v>7200</v>
      </c>
      <c r="CT57" s="16" t="s">
        <v>138</v>
      </c>
      <c r="CU57" s="16">
        <v>7200</v>
      </c>
      <c r="CV57" s="16">
        <v>7200</v>
      </c>
      <c r="CW57" s="16">
        <v>7200</v>
      </c>
    </row>
    <row r="58" spans="1:101" s="24" customFormat="1" x14ac:dyDescent="0.25">
      <c r="A58" s="13">
        <v>95</v>
      </c>
      <c r="B58" s="16" t="s">
        <v>138</v>
      </c>
      <c r="C58" s="16">
        <v>95000</v>
      </c>
      <c r="D58" s="16">
        <v>7200</v>
      </c>
      <c r="E58" s="16" t="s">
        <v>138</v>
      </c>
      <c r="F58" s="16" t="s">
        <v>138</v>
      </c>
      <c r="G58" s="16" t="s">
        <v>138</v>
      </c>
      <c r="H58" s="16">
        <v>95000</v>
      </c>
      <c r="I58" s="16">
        <v>7200</v>
      </c>
      <c r="J58" s="16">
        <v>95000</v>
      </c>
      <c r="K58" s="16" t="s">
        <v>138</v>
      </c>
      <c r="L58" s="16" t="s">
        <v>138</v>
      </c>
      <c r="M58" s="16" t="s">
        <v>138</v>
      </c>
      <c r="N58" s="16" t="s">
        <v>138</v>
      </c>
      <c r="O58" s="16" t="s">
        <v>138</v>
      </c>
      <c r="P58" s="16" t="s">
        <v>138</v>
      </c>
      <c r="Q58" s="16" t="s">
        <v>138</v>
      </c>
      <c r="R58" s="16" t="s">
        <v>138</v>
      </c>
      <c r="S58" s="16" t="s">
        <v>138</v>
      </c>
      <c r="T58" s="16" t="s">
        <v>138</v>
      </c>
      <c r="U58" s="16">
        <v>7200</v>
      </c>
      <c r="V58" s="16" t="s">
        <v>138</v>
      </c>
      <c r="W58" s="16">
        <v>95000</v>
      </c>
      <c r="X58" s="16" t="s">
        <v>138</v>
      </c>
      <c r="Y58" s="16" t="s">
        <v>138</v>
      </c>
      <c r="Z58" s="16" t="s">
        <v>138</v>
      </c>
      <c r="AA58" s="16" t="s">
        <v>138</v>
      </c>
      <c r="AB58" s="16" t="s">
        <v>138</v>
      </c>
      <c r="AC58" s="16">
        <v>7200</v>
      </c>
      <c r="AD58" s="16" t="s">
        <v>138</v>
      </c>
      <c r="AE58" s="16" t="s">
        <v>138</v>
      </c>
      <c r="AF58" s="16" t="s">
        <v>138</v>
      </c>
      <c r="AG58" s="16" t="s">
        <v>138</v>
      </c>
      <c r="AH58" s="16" t="s">
        <v>138</v>
      </c>
      <c r="AI58" s="16" t="s">
        <v>138</v>
      </c>
      <c r="AJ58" s="16" t="s">
        <v>138</v>
      </c>
      <c r="AK58" s="16" t="s">
        <v>138</v>
      </c>
      <c r="AL58" s="16" t="s">
        <v>138</v>
      </c>
      <c r="AM58" s="16" t="s">
        <v>138</v>
      </c>
      <c r="AN58" s="16">
        <v>7200</v>
      </c>
      <c r="AO58" s="16" t="s">
        <v>138</v>
      </c>
      <c r="AP58" s="16" t="s">
        <v>138</v>
      </c>
      <c r="AQ58" s="16" t="s">
        <v>138</v>
      </c>
      <c r="AR58" s="16" t="s">
        <v>138</v>
      </c>
      <c r="AS58" s="16" t="s">
        <v>138</v>
      </c>
      <c r="AT58" s="16">
        <v>95000</v>
      </c>
      <c r="AU58" s="16" t="s">
        <v>138</v>
      </c>
      <c r="AV58" s="16" t="s">
        <v>138</v>
      </c>
      <c r="AW58" s="16" t="s">
        <v>138</v>
      </c>
      <c r="AX58" s="16" t="s">
        <v>138</v>
      </c>
      <c r="AY58" s="16" t="s">
        <v>138</v>
      </c>
      <c r="AZ58" s="16" t="s">
        <v>138</v>
      </c>
      <c r="BA58" s="16">
        <v>7200</v>
      </c>
      <c r="BB58" s="16">
        <v>7200</v>
      </c>
      <c r="BC58" s="16" t="s">
        <v>138</v>
      </c>
      <c r="BD58" s="16">
        <v>95000</v>
      </c>
      <c r="BE58" s="16" t="s">
        <v>138</v>
      </c>
      <c r="BF58" s="16">
        <v>7200</v>
      </c>
      <c r="BG58" s="16">
        <v>7200</v>
      </c>
      <c r="BH58" s="16">
        <v>95000</v>
      </c>
      <c r="BI58" s="16" t="s">
        <v>138</v>
      </c>
      <c r="BJ58" s="16" t="s">
        <v>138</v>
      </c>
      <c r="BK58" s="16" t="s">
        <v>138</v>
      </c>
      <c r="BL58" s="16">
        <v>95000</v>
      </c>
      <c r="BM58" s="16" t="s">
        <v>138</v>
      </c>
      <c r="BN58" s="16" t="s">
        <v>138</v>
      </c>
      <c r="BO58" s="16" t="s">
        <v>138</v>
      </c>
      <c r="BP58" s="16" t="s">
        <v>138</v>
      </c>
      <c r="BQ58" s="16" t="s">
        <v>138</v>
      </c>
      <c r="BR58" s="16">
        <v>7200</v>
      </c>
      <c r="BS58" s="16" t="s">
        <v>138</v>
      </c>
      <c r="BT58" s="16" t="s">
        <v>138</v>
      </c>
      <c r="BU58" s="16" t="s">
        <v>138</v>
      </c>
      <c r="BV58" s="16">
        <v>95000</v>
      </c>
      <c r="BW58" s="16" t="s">
        <v>138</v>
      </c>
      <c r="BX58" s="16">
        <v>7200</v>
      </c>
      <c r="BY58" s="16">
        <v>7200</v>
      </c>
      <c r="BZ58" s="16" t="s">
        <v>138</v>
      </c>
      <c r="CA58" s="16">
        <v>7200</v>
      </c>
      <c r="CB58" s="16" t="s">
        <v>138</v>
      </c>
      <c r="CC58" s="16">
        <v>7200</v>
      </c>
      <c r="CD58" s="16" t="s">
        <v>138</v>
      </c>
      <c r="CE58" s="16">
        <v>7200</v>
      </c>
      <c r="CF58" s="16" t="s">
        <v>138</v>
      </c>
      <c r="CG58" s="16" t="s">
        <v>138</v>
      </c>
      <c r="CH58" s="16" t="s">
        <v>138</v>
      </c>
      <c r="CI58" s="16" t="s">
        <v>138</v>
      </c>
      <c r="CJ58" s="16" t="s">
        <v>138</v>
      </c>
      <c r="CK58" s="16" t="s">
        <v>138</v>
      </c>
      <c r="CL58" s="16" t="s">
        <v>138</v>
      </c>
      <c r="CM58" s="16" t="s">
        <v>138</v>
      </c>
      <c r="CN58" s="16">
        <v>7200</v>
      </c>
      <c r="CO58" s="16">
        <v>7200</v>
      </c>
      <c r="CP58" s="16" t="s">
        <v>138</v>
      </c>
      <c r="CQ58" s="16">
        <v>7200</v>
      </c>
      <c r="CR58" s="16">
        <v>7200</v>
      </c>
      <c r="CS58" s="16">
        <v>7200</v>
      </c>
      <c r="CT58" s="16" t="s">
        <v>138</v>
      </c>
      <c r="CU58" s="16">
        <v>7200</v>
      </c>
      <c r="CV58" s="16">
        <v>7200</v>
      </c>
      <c r="CW58" s="16">
        <v>7200</v>
      </c>
    </row>
    <row r="59" spans="1:101" s="24" customFormat="1" x14ac:dyDescent="0.25">
      <c r="A59" s="13">
        <v>96</v>
      </c>
      <c r="B59" s="16" t="s">
        <v>138</v>
      </c>
      <c r="C59" s="16">
        <v>96000</v>
      </c>
      <c r="D59" s="16">
        <v>7200</v>
      </c>
      <c r="E59" s="16" t="s">
        <v>138</v>
      </c>
      <c r="F59" s="16" t="s">
        <v>138</v>
      </c>
      <c r="G59" s="16" t="s">
        <v>138</v>
      </c>
      <c r="H59" s="16">
        <v>96000</v>
      </c>
      <c r="I59" s="16">
        <v>7200</v>
      </c>
      <c r="J59" s="16">
        <v>96000</v>
      </c>
      <c r="K59" s="16" t="s">
        <v>138</v>
      </c>
      <c r="L59" s="16" t="s">
        <v>138</v>
      </c>
      <c r="M59" s="16" t="s">
        <v>138</v>
      </c>
      <c r="N59" s="16" t="s">
        <v>138</v>
      </c>
      <c r="O59" s="16" t="s">
        <v>138</v>
      </c>
      <c r="P59" s="16" t="s">
        <v>138</v>
      </c>
      <c r="Q59" s="16" t="s">
        <v>138</v>
      </c>
      <c r="R59" s="16" t="s">
        <v>138</v>
      </c>
      <c r="S59" s="16" t="s">
        <v>138</v>
      </c>
      <c r="T59" s="16" t="s">
        <v>138</v>
      </c>
      <c r="U59" s="16">
        <v>7200</v>
      </c>
      <c r="V59" s="16" t="s">
        <v>138</v>
      </c>
      <c r="W59" s="16">
        <v>96000</v>
      </c>
      <c r="X59" s="16" t="s">
        <v>138</v>
      </c>
      <c r="Y59" s="16" t="s">
        <v>138</v>
      </c>
      <c r="Z59" s="16" t="s">
        <v>138</v>
      </c>
      <c r="AA59" s="16" t="s">
        <v>138</v>
      </c>
      <c r="AB59" s="16" t="s">
        <v>138</v>
      </c>
      <c r="AC59" s="16">
        <v>7200</v>
      </c>
      <c r="AD59" s="16" t="s">
        <v>138</v>
      </c>
      <c r="AE59" s="16" t="s">
        <v>138</v>
      </c>
      <c r="AF59" s="16" t="s">
        <v>138</v>
      </c>
      <c r="AG59" s="16" t="s">
        <v>138</v>
      </c>
      <c r="AH59" s="16" t="s">
        <v>138</v>
      </c>
      <c r="AI59" s="16" t="s">
        <v>138</v>
      </c>
      <c r="AJ59" s="16" t="s">
        <v>138</v>
      </c>
      <c r="AK59" s="16" t="s">
        <v>138</v>
      </c>
      <c r="AL59" s="16" t="s">
        <v>138</v>
      </c>
      <c r="AM59" s="16" t="s">
        <v>138</v>
      </c>
      <c r="AN59" s="16">
        <v>7200</v>
      </c>
      <c r="AO59" s="16" t="s">
        <v>138</v>
      </c>
      <c r="AP59" s="16" t="s">
        <v>138</v>
      </c>
      <c r="AQ59" s="16" t="s">
        <v>138</v>
      </c>
      <c r="AR59" s="16" t="s">
        <v>138</v>
      </c>
      <c r="AS59" s="16" t="s">
        <v>138</v>
      </c>
      <c r="AT59" s="16">
        <v>96000</v>
      </c>
      <c r="AU59" s="16" t="s">
        <v>138</v>
      </c>
      <c r="AV59" s="16" t="s">
        <v>138</v>
      </c>
      <c r="AW59" s="16" t="s">
        <v>138</v>
      </c>
      <c r="AX59" s="16" t="s">
        <v>138</v>
      </c>
      <c r="AY59" s="16" t="s">
        <v>138</v>
      </c>
      <c r="AZ59" s="16" t="s">
        <v>138</v>
      </c>
      <c r="BA59" s="16">
        <v>7200</v>
      </c>
      <c r="BB59" s="16">
        <v>7200</v>
      </c>
      <c r="BC59" s="16" t="s">
        <v>138</v>
      </c>
      <c r="BD59" s="16">
        <v>96000</v>
      </c>
      <c r="BE59" s="16" t="s">
        <v>138</v>
      </c>
      <c r="BF59" s="16">
        <v>7200</v>
      </c>
      <c r="BG59" s="16">
        <v>7200</v>
      </c>
      <c r="BH59" s="16">
        <v>96000</v>
      </c>
      <c r="BI59" s="16" t="s">
        <v>138</v>
      </c>
      <c r="BJ59" s="16" t="s">
        <v>138</v>
      </c>
      <c r="BK59" s="16" t="s">
        <v>138</v>
      </c>
      <c r="BL59" s="16">
        <v>96000</v>
      </c>
      <c r="BM59" s="16" t="s">
        <v>138</v>
      </c>
      <c r="BN59" s="16" t="s">
        <v>138</v>
      </c>
      <c r="BO59" s="16" t="s">
        <v>138</v>
      </c>
      <c r="BP59" s="16" t="s">
        <v>138</v>
      </c>
      <c r="BQ59" s="16" t="s">
        <v>138</v>
      </c>
      <c r="BR59" s="16">
        <v>7200</v>
      </c>
      <c r="BS59" s="16" t="s">
        <v>138</v>
      </c>
      <c r="BT59" s="16" t="s">
        <v>138</v>
      </c>
      <c r="BU59" s="16" t="s">
        <v>138</v>
      </c>
      <c r="BV59" s="16">
        <v>96000</v>
      </c>
      <c r="BW59" s="16" t="s">
        <v>138</v>
      </c>
      <c r="BX59" s="16">
        <v>7200</v>
      </c>
      <c r="BY59" s="16">
        <v>7200</v>
      </c>
      <c r="BZ59" s="16" t="s">
        <v>138</v>
      </c>
      <c r="CA59" s="16">
        <v>7200</v>
      </c>
      <c r="CB59" s="16" t="s">
        <v>138</v>
      </c>
      <c r="CC59" s="16">
        <v>7200</v>
      </c>
      <c r="CD59" s="16" t="s">
        <v>138</v>
      </c>
      <c r="CE59" s="16">
        <v>7200</v>
      </c>
      <c r="CF59" s="16" t="s">
        <v>138</v>
      </c>
      <c r="CG59" s="16" t="s">
        <v>138</v>
      </c>
      <c r="CH59" s="16" t="s">
        <v>138</v>
      </c>
      <c r="CI59" s="16" t="s">
        <v>138</v>
      </c>
      <c r="CJ59" s="16" t="s">
        <v>138</v>
      </c>
      <c r="CK59" s="16" t="s">
        <v>138</v>
      </c>
      <c r="CL59" s="16" t="s">
        <v>138</v>
      </c>
      <c r="CM59" s="16" t="s">
        <v>138</v>
      </c>
      <c r="CN59" s="16">
        <v>7200</v>
      </c>
      <c r="CO59" s="16">
        <v>7200</v>
      </c>
      <c r="CP59" s="16" t="s">
        <v>138</v>
      </c>
      <c r="CQ59" s="16">
        <v>7200</v>
      </c>
      <c r="CR59" s="16">
        <v>7200</v>
      </c>
      <c r="CS59" s="16">
        <v>7200</v>
      </c>
      <c r="CT59" s="16" t="s">
        <v>138</v>
      </c>
      <c r="CU59" s="16">
        <v>7200</v>
      </c>
      <c r="CV59" s="16">
        <v>7200</v>
      </c>
      <c r="CW59" s="16">
        <v>7200</v>
      </c>
    </row>
    <row r="60" spans="1:101" s="24" customFormat="1" x14ac:dyDescent="0.25">
      <c r="A60" s="13">
        <v>97</v>
      </c>
      <c r="B60" s="16" t="s">
        <v>138</v>
      </c>
      <c r="C60" s="16">
        <v>97000</v>
      </c>
      <c r="D60" s="16">
        <v>7200</v>
      </c>
      <c r="E60" s="16" t="s">
        <v>138</v>
      </c>
      <c r="F60" s="16" t="s">
        <v>138</v>
      </c>
      <c r="G60" s="16" t="s">
        <v>138</v>
      </c>
      <c r="H60" s="16">
        <v>97000</v>
      </c>
      <c r="I60" s="16">
        <v>7200</v>
      </c>
      <c r="J60" s="16">
        <v>97000</v>
      </c>
      <c r="K60" s="16" t="s">
        <v>138</v>
      </c>
      <c r="L60" s="16" t="s">
        <v>138</v>
      </c>
      <c r="M60" s="16" t="s">
        <v>138</v>
      </c>
      <c r="N60" s="16" t="s">
        <v>138</v>
      </c>
      <c r="O60" s="16" t="s">
        <v>138</v>
      </c>
      <c r="P60" s="16" t="s">
        <v>138</v>
      </c>
      <c r="Q60" s="16" t="s">
        <v>138</v>
      </c>
      <c r="R60" s="16" t="s">
        <v>138</v>
      </c>
      <c r="S60" s="16" t="s">
        <v>138</v>
      </c>
      <c r="T60" s="16" t="s">
        <v>138</v>
      </c>
      <c r="U60" s="16">
        <v>7200</v>
      </c>
      <c r="V60" s="16" t="s">
        <v>138</v>
      </c>
      <c r="W60" s="16">
        <v>97000</v>
      </c>
      <c r="X60" s="16" t="s">
        <v>138</v>
      </c>
      <c r="Y60" s="16" t="s">
        <v>138</v>
      </c>
      <c r="Z60" s="16" t="s">
        <v>138</v>
      </c>
      <c r="AA60" s="16" t="s">
        <v>138</v>
      </c>
      <c r="AB60" s="16" t="s">
        <v>138</v>
      </c>
      <c r="AC60" s="16">
        <v>7200</v>
      </c>
      <c r="AD60" s="16" t="s">
        <v>138</v>
      </c>
      <c r="AE60" s="16" t="s">
        <v>138</v>
      </c>
      <c r="AF60" s="16" t="s">
        <v>138</v>
      </c>
      <c r="AG60" s="16" t="s">
        <v>138</v>
      </c>
      <c r="AH60" s="16" t="s">
        <v>138</v>
      </c>
      <c r="AI60" s="16" t="s">
        <v>138</v>
      </c>
      <c r="AJ60" s="16" t="s">
        <v>138</v>
      </c>
      <c r="AK60" s="16" t="s">
        <v>138</v>
      </c>
      <c r="AL60" s="16" t="s">
        <v>138</v>
      </c>
      <c r="AM60" s="16" t="s">
        <v>138</v>
      </c>
      <c r="AN60" s="16">
        <v>7200</v>
      </c>
      <c r="AO60" s="16" t="s">
        <v>138</v>
      </c>
      <c r="AP60" s="16" t="s">
        <v>138</v>
      </c>
      <c r="AQ60" s="16" t="s">
        <v>138</v>
      </c>
      <c r="AR60" s="16" t="s">
        <v>138</v>
      </c>
      <c r="AS60" s="16" t="s">
        <v>138</v>
      </c>
      <c r="AT60" s="16">
        <v>97000</v>
      </c>
      <c r="AU60" s="16" t="s">
        <v>138</v>
      </c>
      <c r="AV60" s="16" t="s">
        <v>138</v>
      </c>
      <c r="AW60" s="16" t="s">
        <v>138</v>
      </c>
      <c r="AX60" s="16" t="s">
        <v>138</v>
      </c>
      <c r="AY60" s="16" t="s">
        <v>138</v>
      </c>
      <c r="AZ60" s="16" t="s">
        <v>138</v>
      </c>
      <c r="BA60" s="16">
        <v>7200</v>
      </c>
      <c r="BB60" s="16">
        <v>7200</v>
      </c>
      <c r="BC60" s="16" t="s">
        <v>138</v>
      </c>
      <c r="BD60" s="16">
        <v>97000</v>
      </c>
      <c r="BE60" s="16" t="s">
        <v>138</v>
      </c>
      <c r="BF60" s="16">
        <v>7200</v>
      </c>
      <c r="BG60" s="16">
        <v>7200</v>
      </c>
      <c r="BH60" s="16">
        <v>97000</v>
      </c>
      <c r="BI60" s="16" t="s">
        <v>138</v>
      </c>
      <c r="BJ60" s="16" t="s">
        <v>138</v>
      </c>
      <c r="BK60" s="16" t="s">
        <v>138</v>
      </c>
      <c r="BL60" s="16">
        <v>97000</v>
      </c>
      <c r="BM60" s="16" t="s">
        <v>138</v>
      </c>
      <c r="BN60" s="16" t="s">
        <v>138</v>
      </c>
      <c r="BO60" s="16" t="s">
        <v>138</v>
      </c>
      <c r="BP60" s="16" t="s">
        <v>138</v>
      </c>
      <c r="BQ60" s="16" t="s">
        <v>138</v>
      </c>
      <c r="BR60" s="16">
        <v>7200</v>
      </c>
      <c r="BS60" s="16" t="s">
        <v>138</v>
      </c>
      <c r="BT60" s="16" t="s">
        <v>138</v>
      </c>
      <c r="BU60" s="16" t="s">
        <v>138</v>
      </c>
      <c r="BV60" s="16">
        <v>97000</v>
      </c>
      <c r="BW60" s="16" t="s">
        <v>138</v>
      </c>
      <c r="BX60" s="16">
        <v>7200</v>
      </c>
      <c r="BY60" s="16">
        <v>7200</v>
      </c>
      <c r="BZ60" s="16" t="s">
        <v>138</v>
      </c>
      <c r="CA60" s="16">
        <v>7200</v>
      </c>
      <c r="CB60" s="16" t="s">
        <v>138</v>
      </c>
      <c r="CC60" s="16">
        <v>7200</v>
      </c>
      <c r="CD60" s="16" t="s">
        <v>138</v>
      </c>
      <c r="CE60" s="16">
        <v>7200</v>
      </c>
      <c r="CF60" s="16" t="s">
        <v>138</v>
      </c>
      <c r="CG60" s="16" t="s">
        <v>138</v>
      </c>
      <c r="CH60" s="16" t="s">
        <v>138</v>
      </c>
      <c r="CI60" s="16" t="s">
        <v>138</v>
      </c>
      <c r="CJ60" s="16" t="s">
        <v>138</v>
      </c>
      <c r="CK60" s="16" t="s">
        <v>138</v>
      </c>
      <c r="CL60" s="16" t="s">
        <v>138</v>
      </c>
      <c r="CM60" s="16" t="s">
        <v>138</v>
      </c>
      <c r="CN60" s="16">
        <v>7200</v>
      </c>
      <c r="CO60" s="16">
        <v>7200</v>
      </c>
      <c r="CP60" s="16" t="s">
        <v>138</v>
      </c>
      <c r="CQ60" s="16">
        <v>7200</v>
      </c>
      <c r="CR60" s="16">
        <v>7200</v>
      </c>
      <c r="CS60" s="16">
        <v>7200</v>
      </c>
      <c r="CT60" s="16" t="s">
        <v>138</v>
      </c>
      <c r="CU60" s="16">
        <v>7200</v>
      </c>
      <c r="CV60" s="16">
        <v>7200</v>
      </c>
      <c r="CW60" s="16">
        <v>7200</v>
      </c>
    </row>
    <row r="61" spans="1:101" s="24" customFormat="1" x14ac:dyDescent="0.25">
      <c r="A61" s="13">
        <v>98</v>
      </c>
      <c r="B61" s="16" t="s">
        <v>138</v>
      </c>
      <c r="C61" s="16">
        <v>98000</v>
      </c>
      <c r="D61" s="16">
        <v>7200</v>
      </c>
      <c r="E61" s="16" t="s">
        <v>138</v>
      </c>
      <c r="F61" s="16" t="s">
        <v>138</v>
      </c>
      <c r="G61" s="16" t="s">
        <v>138</v>
      </c>
      <c r="H61" s="16">
        <v>98000</v>
      </c>
      <c r="I61" s="16">
        <v>7200</v>
      </c>
      <c r="J61" s="16">
        <v>98000</v>
      </c>
      <c r="K61" s="16" t="s">
        <v>138</v>
      </c>
      <c r="L61" s="16" t="s">
        <v>138</v>
      </c>
      <c r="M61" s="16" t="s">
        <v>138</v>
      </c>
      <c r="N61" s="16" t="s">
        <v>138</v>
      </c>
      <c r="O61" s="16" t="s">
        <v>138</v>
      </c>
      <c r="P61" s="16" t="s">
        <v>138</v>
      </c>
      <c r="Q61" s="16" t="s">
        <v>138</v>
      </c>
      <c r="R61" s="16" t="s">
        <v>138</v>
      </c>
      <c r="S61" s="16" t="s">
        <v>138</v>
      </c>
      <c r="T61" s="16" t="s">
        <v>138</v>
      </c>
      <c r="U61" s="16">
        <v>7200</v>
      </c>
      <c r="V61" s="16" t="s">
        <v>138</v>
      </c>
      <c r="W61" s="16">
        <v>98000</v>
      </c>
      <c r="X61" s="16" t="s">
        <v>138</v>
      </c>
      <c r="Y61" s="16" t="s">
        <v>138</v>
      </c>
      <c r="Z61" s="16" t="s">
        <v>138</v>
      </c>
      <c r="AA61" s="16" t="s">
        <v>138</v>
      </c>
      <c r="AB61" s="16" t="s">
        <v>138</v>
      </c>
      <c r="AC61" s="16">
        <v>7200</v>
      </c>
      <c r="AD61" s="16" t="s">
        <v>138</v>
      </c>
      <c r="AE61" s="16" t="s">
        <v>138</v>
      </c>
      <c r="AF61" s="16" t="s">
        <v>138</v>
      </c>
      <c r="AG61" s="16" t="s">
        <v>138</v>
      </c>
      <c r="AH61" s="16" t="s">
        <v>138</v>
      </c>
      <c r="AI61" s="16" t="s">
        <v>138</v>
      </c>
      <c r="AJ61" s="16" t="s">
        <v>138</v>
      </c>
      <c r="AK61" s="16" t="s">
        <v>138</v>
      </c>
      <c r="AL61" s="16" t="s">
        <v>138</v>
      </c>
      <c r="AM61" s="16" t="s">
        <v>138</v>
      </c>
      <c r="AN61" s="16">
        <v>7200</v>
      </c>
      <c r="AO61" s="16" t="s">
        <v>138</v>
      </c>
      <c r="AP61" s="16" t="s">
        <v>138</v>
      </c>
      <c r="AQ61" s="16" t="s">
        <v>138</v>
      </c>
      <c r="AR61" s="16" t="s">
        <v>138</v>
      </c>
      <c r="AS61" s="16" t="s">
        <v>138</v>
      </c>
      <c r="AT61" s="16">
        <v>98000</v>
      </c>
      <c r="AU61" s="16" t="s">
        <v>138</v>
      </c>
      <c r="AV61" s="16" t="s">
        <v>138</v>
      </c>
      <c r="AW61" s="16" t="s">
        <v>138</v>
      </c>
      <c r="AX61" s="16" t="s">
        <v>138</v>
      </c>
      <c r="AY61" s="16" t="s">
        <v>138</v>
      </c>
      <c r="AZ61" s="16" t="s">
        <v>138</v>
      </c>
      <c r="BA61" s="16">
        <v>7200</v>
      </c>
      <c r="BB61" s="16">
        <v>7200</v>
      </c>
      <c r="BC61" s="16" t="s">
        <v>138</v>
      </c>
      <c r="BD61" s="16">
        <v>98000</v>
      </c>
      <c r="BE61" s="16" t="s">
        <v>138</v>
      </c>
      <c r="BF61" s="16">
        <v>7200</v>
      </c>
      <c r="BG61" s="16">
        <v>7200</v>
      </c>
      <c r="BH61" s="16">
        <v>98000</v>
      </c>
      <c r="BI61" s="16" t="s">
        <v>138</v>
      </c>
      <c r="BJ61" s="16" t="s">
        <v>138</v>
      </c>
      <c r="BK61" s="16" t="s">
        <v>138</v>
      </c>
      <c r="BL61" s="16">
        <v>98000</v>
      </c>
      <c r="BM61" s="16" t="s">
        <v>138</v>
      </c>
      <c r="BN61" s="16" t="s">
        <v>138</v>
      </c>
      <c r="BO61" s="16" t="s">
        <v>138</v>
      </c>
      <c r="BP61" s="16" t="s">
        <v>138</v>
      </c>
      <c r="BQ61" s="16" t="s">
        <v>138</v>
      </c>
      <c r="BR61" s="16">
        <v>7200</v>
      </c>
      <c r="BS61" s="16" t="s">
        <v>138</v>
      </c>
      <c r="BT61" s="16" t="s">
        <v>138</v>
      </c>
      <c r="BU61" s="16" t="s">
        <v>138</v>
      </c>
      <c r="BV61" s="16">
        <v>98000</v>
      </c>
      <c r="BW61" s="16" t="s">
        <v>138</v>
      </c>
      <c r="BX61" s="16">
        <v>7200</v>
      </c>
      <c r="BY61" s="16">
        <v>7200</v>
      </c>
      <c r="BZ61" s="16" t="s">
        <v>138</v>
      </c>
      <c r="CA61" s="16">
        <v>7200</v>
      </c>
      <c r="CB61" s="16" t="s">
        <v>138</v>
      </c>
      <c r="CC61" s="16">
        <v>7200</v>
      </c>
      <c r="CD61" s="16" t="s">
        <v>138</v>
      </c>
      <c r="CE61" s="16">
        <v>7200</v>
      </c>
      <c r="CF61" s="16" t="s">
        <v>138</v>
      </c>
      <c r="CG61" s="16" t="s">
        <v>138</v>
      </c>
      <c r="CH61" s="16" t="s">
        <v>138</v>
      </c>
      <c r="CI61" s="16" t="s">
        <v>138</v>
      </c>
      <c r="CJ61" s="16" t="s">
        <v>138</v>
      </c>
      <c r="CK61" s="16" t="s">
        <v>138</v>
      </c>
      <c r="CL61" s="16" t="s">
        <v>138</v>
      </c>
      <c r="CM61" s="16" t="s">
        <v>138</v>
      </c>
      <c r="CN61" s="16">
        <v>7200</v>
      </c>
      <c r="CO61" s="16">
        <v>7200</v>
      </c>
      <c r="CP61" s="16" t="s">
        <v>138</v>
      </c>
      <c r="CQ61" s="16">
        <v>7200</v>
      </c>
      <c r="CR61" s="16">
        <v>7200</v>
      </c>
      <c r="CS61" s="16">
        <v>7200</v>
      </c>
      <c r="CT61" s="16" t="s">
        <v>138</v>
      </c>
      <c r="CU61" s="16">
        <v>7200</v>
      </c>
      <c r="CV61" s="16">
        <v>7200</v>
      </c>
      <c r="CW61" s="16">
        <v>7200</v>
      </c>
    </row>
    <row r="62" spans="1:101" s="24" customFormat="1" x14ac:dyDescent="0.25">
      <c r="A62" s="13">
        <v>99</v>
      </c>
      <c r="B62" s="16" t="s">
        <v>138</v>
      </c>
      <c r="C62" s="16">
        <v>99000</v>
      </c>
      <c r="D62" s="16">
        <v>7200</v>
      </c>
      <c r="E62" s="16" t="s">
        <v>138</v>
      </c>
      <c r="F62" s="16" t="s">
        <v>138</v>
      </c>
      <c r="G62" s="16" t="s">
        <v>138</v>
      </c>
      <c r="H62" s="16">
        <v>99000</v>
      </c>
      <c r="I62" s="16">
        <v>7200</v>
      </c>
      <c r="J62" s="16">
        <v>99000</v>
      </c>
      <c r="K62" s="16" t="s">
        <v>138</v>
      </c>
      <c r="L62" s="16" t="s">
        <v>138</v>
      </c>
      <c r="M62" s="16" t="s">
        <v>138</v>
      </c>
      <c r="N62" s="16" t="s">
        <v>138</v>
      </c>
      <c r="O62" s="16" t="s">
        <v>138</v>
      </c>
      <c r="P62" s="16" t="s">
        <v>138</v>
      </c>
      <c r="Q62" s="16" t="s">
        <v>138</v>
      </c>
      <c r="R62" s="16" t="s">
        <v>138</v>
      </c>
      <c r="S62" s="16" t="s">
        <v>138</v>
      </c>
      <c r="T62" s="16" t="s">
        <v>138</v>
      </c>
      <c r="U62" s="16">
        <v>7200</v>
      </c>
      <c r="V62" s="16" t="s">
        <v>138</v>
      </c>
      <c r="W62" s="16">
        <v>99000</v>
      </c>
      <c r="X62" s="16" t="s">
        <v>138</v>
      </c>
      <c r="Y62" s="16" t="s">
        <v>138</v>
      </c>
      <c r="Z62" s="16" t="s">
        <v>138</v>
      </c>
      <c r="AA62" s="16" t="s">
        <v>138</v>
      </c>
      <c r="AB62" s="16" t="s">
        <v>138</v>
      </c>
      <c r="AC62" s="16">
        <v>7200</v>
      </c>
      <c r="AD62" s="16" t="s">
        <v>138</v>
      </c>
      <c r="AE62" s="16" t="s">
        <v>138</v>
      </c>
      <c r="AF62" s="16" t="s">
        <v>138</v>
      </c>
      <c r="AG62" s="16" t="s">
        <v>138</v>
      </c>
      <c r="AH62" s="16" t="s">
        <v>138</v>
      </c>
      <c r="AI62" s="16" t="s">
        <v>138</v>
      </c>
      <c r="AJ62" s="16" t="s">
        <v>138</v>
      </c>
      <c r="AK62" s="16" t="s">
        <v>138</v>
      </c>
      <c r="AL62" s="16" t="s">
        <v>138</v>
      </c>
      <c r="AM62" s="16" t="s">
        <v>138</v>
      </c>
      <c r="AN62" s="16">
        <v>7200</v>
      </c>
      <c r="AO62" s="16" t="s">
        <v>138</v>
      </c>
      <c r="AP62" s="16" t="s">
        <v>138</v>
      </c>
      <c r="AQ62" s="16" t="s">
        <v>138</v>
      </c>
      <c r="AR62" s="16" t="s">
        <v>138</v>
      </c>
      <c r="AS62" s="16" t="s">
        <v>138</v>
      </c>
      <c r="AT62" s="16">
        <v>99000</v>
      </c>
      <c r="AU62" s="16" t="s">
        <v>138</v>
      </c>
      <c r="AV62" s="16" t="s">
        <v>138</v>
      </c>
      <c r="AW62" s="16" t="s">
        <v>138</v>
      </c>
      <c r="AX62" s="16" t="s">
        <v>138</v>
      </c>
      <c r="AY62" s="16" t="s">
        <v>138</v>
      </c>
      <c r="AZ62" s="16" t="s">
        <v>138</v>
      </c>
      <c r="BA62" s="16">
        <v>7200</v>
      </c>
      <c r="BB62" s="16">
        <v>7200</v>
      </c>
      <c r="BC62" s="16" t="s">
        <v>138</v>
      </c>
      <c r="BD62" s="16">
        <v>99000</v>
      </c>
      <c r="BE62" s="16" t="s">
        <v>138</v>
      </c>
      <c r="BF62" s="16">
        <v>7200</v>
      </c>
      <c r="BG62" s="16">
        <v>7200</v>
      </c>
      <c r="BH62" s="16">
        <v>99000</v>
      </c>
      <c r="BI62" s="16" t="s">
        <v>138</v>
      </c>
      <c r="BJ62" s="16" t="s">
        <v>138</v>
      </c>
      <c r="BK62" s="16" t="s">
        <v>138</v>
      </c>
      <c r="BL62" s="16">
        <v>99000</v>
      </c>
      <c r="BM62" s="16" t="s">
        <v>138</v>
      </c>
      <c r="BN62" s="16" t="s">
        <v>138</v>
      </c>
      <c r="BO62" s="16" t="s">
        <v>138</v>
      </c>
      <c r="BP62" s="16" t="s">
        <v>138</v>
      </c>
      <c r="BQ62" s="16" t="s">
        <v>138</v>
      </c>
      <c r="BR62" s="16">
        <v>7200</v>
      </c>
      <c r="BS62" s="16" t="s">
        <v>138</v>
      </c>
      <c r="BT62" s="16" t="s">
        <v>138</v>
      </c>
      <c r="BU62" s="16" t="s">
        <v>138</v>
      </c>
      <c r="BV62" s="16">
        <v>99000</v>
      </c>
      <c r="BW62" s="16" t="s">
        <v>138</v>
      </c>
      <c r="BX62" s="16">
        <v>7200</v>
      </c>
      <c r="BY62" s="16">
        <v>7200</v>
      </c>
      <c r="BZ62" s="16" t="s">
        <v>138</v>
      </c>
      <c r="CA62" s="16">
        <v>7200</v>
      </c>
      <c r="CB62" s="16" t="s">
        <v>138</v>
      </c>
      <c r="CC62" s="16">
        <v>7200</v>
      </c>
      <c r="CD62" s="16" t="s">
        <v>138</v>
      </c>
      <c r="CE62" s="16">
        <v>7200</v>
      </c>
      <c r="CF62" s="16" t="s">
        <v>138</v>
      </c>
      <c r="CG62" s="16" t="s">
        <v>138</v>
      </c>
      <c r="CH62" s="16" t="s">
        <v>138</v>
      </c>
      <c r="CI62" s="16" t="s">
        <v>138</v>
      </c>
      <c r="CJ62" s="16" t="s">
        <v>138</v>
      </c>
      <c r="CK62" s="16" t="s">
        <v>138</v>
      </c>
      <c r="CL62" s="16" t="s">
        <v>138</v>
      </c>
      <c r="CM62" s="16" t="s">
        <v>138</v>
      </c>
      <c r="CN62" s="16">
        <v>7200</v>
      </c>
      <c r="CO62" s="16">
        <v>7200</v>
      </c>
      <c r="CP62" s="16" t="s">
        <v>138</v>
      </c>
      <c r="CQ62" s="16">
        <v>7200</v>
      </c>
      <c r="CR62" s="16">
        <v>7200</v>
      </c>
      <c r="CS62" s="16">
        <v>7200</v>
      </c>
      <c r="CT62" s="16" t="s">
        <v>138</v>
      </c>
      <c r="CU62" s="16">
        <v>7200</v>
      </c>
      <c r="CV62" s="16">
        <v>7200</v>
      </c>
      <c r="CW62" s="16">
        <v>7200</v>
      </c>
    </row>
    <row r="63" spans="1:101" s="24" customFormat="1" x14ac:dyDescent="0.25">
      <c r="A63" s="13">
        <v>100</v>
      </c>
      <c r="B63" s="16" t="s">
        <v>138</v>
      </c>
      <c r="C63" s="16">
        <v>100000</v>
      </c>
      <c r="D63" s="16">
        <v>7200</v>
      </c>
      <c r="E63" s="16" t="s">
        <v>138</v>
      </c>
      <c r="F63" s="16" t="s">
        <v>138</v>
      </c>
      <c r="G63" s="16" t="s">
        <v>138</v>
      </c>
      <c r="H63" s="16">
        <v>100000</v>
      </c>
      <c r="I63" s="16">
        <v>7200</v>
      </c>
      <c r="J63" s="16">
        <v>100000</v>
      </c>
      <c r="K63" s="16" t="s">
        <v>138</v>
      </c>
      <c r="L63" s="16" t="s">
        <v>138</v>
      </c>
      <c r="M63" s="16" t="s">
        <v>138</v>
      </c>
      <c r="N63" s="16" t="s">
        <v>138</v>
      </c>
      <c r="O63" s="16" t="s">
        <v>138</v>
      </c>
      <c r="P63" s="16" t="s">
        <v>138</v>
      </c>
      <c r="Q63" s="16" t="s">
        <v>138</v>
      </c>
      <c r="R63" s="16" t="s">
        <v>138</v>
      </c>
      <c r="S63" s="16" t="s">
        <v>138</v>
      </c>
      <c r="T63" s="16" t="s">
        <v>138</v>
      </c>
      <c r="U63" s="16">
        <v>7200</v>
      </c>
      <c r="V63" s="16" t="s">
        <v>138</v>
      </c>
      <c r="W63" s="16">
        <v>100000</v>
      </c>
      <c r="X63" s="16" t="s">
        <v>138</v>
      </c>
      <c r="Y63" s="16" t="s">
        <v>138</v>
      </c>
      <c r="Z63" s="16" t="s">
        <v>138</v>
      </c>
      <c r="AA63" s="16" t="s">
        <v>138</v>
      </c>
      <c r="AB63" s="16" t="s">
        <v>138</v>
      </c>
      <c r="AC63" s="16">
        <v>7200</v>
      </c>
      <c r="AD63" s="16" t="s">
        <v>138</v>
      </c>
      <c r="AE63" s="16" t="s">
        <v>138</v>
      </c>
      <c r="AF63" s="16" t="s">
        <v>138</v>
      </c>
      <c r="AG63" s="16" t="s">
        <v>138</v>
      </c>
      <c r="AH63" s="16" t="s">
        <v>138</v>
      </c>
      <c r="AI63" s="16" t="s">
        <v>138</v>
      </c>
      <c r="AJ63" s="16" t="s">
        <v>138</v>
      </c>
      <c r="AK63" s="16" t="s">
        <v>138</v>
      </c>
      <c r="AL63" s="16" t="s">
        <v>138</v>
      </c>
      <c r="AM63" s="16" t="s">
        <v>138</v>
      </c>
      <c r="AN63" s="16">
        <v>7200</v>
      </c>
      <c r="AO63" s="16" t="s">
        <v>138</v>
      </c>
      <c r="AP63" s="16" t="s">
        <v>138</v>
      </c>
      <c r="AQ63" s="16" t="s">
        <v>138</v>
      </c>
      <c r="AR63" s="16" t="s">
        <v>138</v>
      </c>
      <c r="AS63" s="16" t="s">
        <v>138</v>
      </c>
      <c r="AT63" s="16">
        <v>100000</v>
      </c>
      <c r="AU63" s="16" t="s">
        <v>138</v>
      </c>
      <c r="AV63" s="16" t="s">
        <v>138</v>
      </c>
      <c r="AW63" s="16" t="s">
        <v>138</v>
      </c>
      <c r="AX63" s="16" t="s">
        <v>138</v>
      </c>
      <c r="AY63" s="16" t="s">
        <v>138</v>
      </c>
      <c r="AZ63" s="16" t="s">
        <v>138</v>
      </c>
      <c r="BA63" s="16">
        <v>7200</v>
      </c>
      <c r="BB63" s="16">
        <v>7200</v>
      </c>
      <c r="BC63" s="16" t="s">
        <v>138</v>
      </c>
      <c r="BD63" s="16">
        <v>100000</v>
      </c>
      <c r="BE63" s="16" t="s">
        <v>138</v>
      </c>
      <c r="BF63" s="16">
        <v>7200</v>
      </c>
      <c r="BG63" s="16">
        <v>7200</v>
      </c>
      <c r="BH63" s="16">
        <v>100000</v>
      </c>
      <c r="BI63" s="16" t="s">
        <v>138</v>
      </c>
      <c r="BJ63" s="16" t="s">
        <v>138</v>
      </c>
      <c r="BK63" s="16" t="s">
        <v>138</v>
      </c>
      <c r="BL63" s="16">
        <v>100000</v>
      </c>
      <c r="BM63" s="16" t="s">
        <v>138</v>
      </c>
      <c r="BN63" s="16" t="s">
        <v>138</v>
      </c>
      <c r="BO63" s="16" t="s">
        <v>138</v>
      </c>
      <c r="BP63" s="16" t="s">
        <v>138</v>
      </c>
      <c r="BQ63" s="16" t="s">
        <v>138</v>
      </c>
      <c r="BR63" s="16">
        <v>7200</v>
      </c>
      <c r="BS63" s="16" t="s">
        <v>138</v>
      </c>
      <c r="BT63" s="16" t="s">
        <v>138</v>
      </c>
      <c r="BU63" s="16" t="s">
        <v>138</v>
      </c>
      <c r="BV63" s="16">
        <v>100000</v>
      </c>
      <c r="BW63" s="16" t="s">
        <v>138</v>
      </c>
      <c r="BX63" s="16">
        <v>7200</v>
      </c>
      <c r="BY63" s="16">
        <v>7200</v>
      </c>
      <c r="BZ63" s="16" t="s">
        <v>138</v>
      </c>
      <c r="CA63" s="16">
        <v>7200</v>
      </c>
      <c r="CB63" s="16" t="s">
        <v>138</v>
      </c>
      <c r="CC63" s="16">
        <v>7200</v>
      </c>
      <c r="CD63" s="16" t="s">
        <v>138</v>
      </c>
      <c r="CE63" s="16">
        <v>7200</v>
      </c>
      <c r="CF63" s="16" t="s">
        <v>138</v>
      </c>
      <c r="CG63" s="16" t="s">
        <v>138</v>
      </c>
      <c r="CH63" s="16" t="s">
        <v>138</v>
      </c>
      <c r="CI63" s="16" t="s">
        <v>138</v>
      </c>
      <c r="CJ63" s="16" t="s">
        <v>138</v>
      </c>
      <c r="CK63" s="16" t="s">
        <v>138</v>
      </c>
      <c r="CL63" s="16" t="s">
        <v>138</v>
      </c>
      <c r="CM63" s="16" t="s">
        <v>138</v>
      </c>
      <c r="CN63" s="16">
        <v>7200</v>
      </c>
      <c r="CO63" s="16">
        <v>7200</v>
      </c>
      <c r="CP63" s="16" t="s">
        <v>138</v>
      </c>
      <c r="CQ63" s="16">
        <v>7200</v>
      </c>
      <c r="CR63" s="16">
        <v>7200</v>
      </c>
      <c r="CS63" s="16">
        <v>7200</v>
      </c>
      <c r="CT63" s="16" t="s">
        <v>138</v>
      </c>
      <c r="CU63" s="16">
        <v>7200</v>
      </c>
      <c r="CV63" s="16">
        <v>7200</v>
      </c>
      <c r="CW63" s="16">
        <v>7200</v>
      </c>
    </row>
    <row r="64" spans="1:101" s="24" customFormat="1" x14ac:dyDescent="0.25">
      <c r="A64" s="13">
        <v>101</v>
      </c>
      <c r="B64" s="16" t="s">
        <v>138</v>
      </c>
      <c r="C64" s="16" t="s">
        <v>138</v>
      </c>
      <c r="D64" s="16">
        <v>7200</v>
      </c>
      <c r="E64" s="16" t="s">
        <v>138</v>
      </c>
      <c r="F64" s="16" t="s">
        <v>138</v>
      </c>
      <c r="G64" s="16" t="s">
        <v>138</v>
      </c>
      <c r="H64" s="16" t="s">
        <v>138</v>
      </c>
      <c r="I64" s="16">
        <v>7200</v>
      </c>
      <c r="J64" s="16" t="s">
        <v>138</v>
      </c>
      <c r="K64" s="16" t="s">
        <v>138</v>
      </c>
      <c r="L64" s="16" t="s">
        <v>138</v>
      </c>
      <c r="M64" s="16" t="s">
        <v>138</v>
      </c>
      <c r="N64" s="16" t="s">
        <v>138</v>
      </c>
      <c r="O64" s="16" t="s">
        <v>138</v>
      </c>
      <c r="P64" s="16" t="s">
        <v>138</v>
      </c>
      <c r="Q64" s="16" t="s">
        <v>138</v>
      </c>
      <c r="R64" s="16" t="s">
        <v>138</v>
      </c>
      <c r="S64" s="16" t="s">
        <v>138</v>
      </c>
      <c r="T64" s="16" t="s">
        <v>138</v>
      </c>
      <c r="U64" s="16">
        <v>7200</v>
      </c>
      <c r="V64" s="16" t="s">
        <v>138</v>
      </c>
      <c r="W64" s="16" t="s">
        <v>138</v>
      </c>
      <c r="X64" s="16" t="s">
        <v>138</v>
      </c>
      <c r="Y64" s="16" t="s">
        <v>138</v>
      </c>
      <c r="Z64" s="16" t="s">
        <v>138</v>
      </c>
      <c r="AA64" s="16" t="s">
        <v>138</v>
      </c>
      <c r="AB64" s="16" t="s">
        <v>138</v>
      </c>
      <c r="AC64" s="16">
        <v>7200</v>
      </c>
      <c r="AD64" s="16" t="s">
        <v>138</v>
      </c>
      <c r="AE64" s="16" t="s">
        <v>138</v>
      </c>
      <c r="AF64" s="16" t="s">
        <v>138</v>
      </c>
      <c r="AG64" s="16" t="s">
        <v>138</v>
      </c>
      <c r="AH64" s="16" t="s">
        <v>138</v>
      </c>
      <c r="AI64" s="16" t="s">
        <v>138</v>
      </c>
      <c r="AJ64" s="16" t="s">
        <v>138</v>
      </c>
      <c r="AK64" s="16" t="s">
        <v>138</v>
      </c>
      <c r="AL64" s="16" t="s">
        <v>138</v>
      </c>
      <c r="AM64" s="16" t="s">
        <v>138</v>
      </c>
      <c r="AN64" s="16">
        <v>7200</v>
      </c>
      <c r="AO64" s="16" t="s">
        <v>138</v>
      </c>
      <c r="AP64" s="16" t="s">
        <v>138</v>
      </c>
      <c r="AQ64" s="16" t="s">
        <v>138</v>
      </c>
      <c r="AR64" s="16" t="s">
        <v>138</v>
      </c>
      <c r="AS64" s="16" t="s">
        <v>138</v>
      </c>
      <c r="AT64" s="16" t="s">
        <v>138</v>
      </c>
      <c r="AU64" s="16" t="s">
        <v>138</v>
      </c>
      <c r="AV64" s="16" t="s">
        <v>138</v>
      </c>
      <c r="AW64" s="16" t="s">
        <v>138</v>
      </c>
      <c r="AX64" s="16" t="s">
        <v>138</v>
      </c>
      <c r="AY64" s="16" t="s">
        <v>138</v>
      </c>
      <c r="AZ64" s="16" t="s">
        <v>138</v>
      </c>
      <c r="BA64" s="16">
        <v>7200</v>
      </c>
      <c r="BB64" s="16">
        <v>7200</v>
      </c>
      <c r="BC64" s="16" t="s">
        <v>138</v>
      </c>
      <c r="BD64" s="16" t="s">
        <v>138</v>
      </c>
      <c r="BE64" s="16" t="s">
        <v>138</v>
      </c>
      <c r="BF64" s="16">
        <v>7200</v>
      </c>
      <c r="BG64" s="16">
        <v>7200</v>
      </c>
      <c r="BH64" s="16" t="s">
        <v>138</v>
      </c>
      <c r="BI64" s="16" t="s">
        <v>138</v>
      </c>
      <c r="BJ64" s="16" t="s">
        <v>138</v>
      </c>
      <c r="BK64" s="16" t="s">
        <v>138</v>
      </c>
      <c r="BL64" s="16" t="s">
        <v>138</v>
      </c>
      <c r="BM64" s="16" t="s">
        <v>138</v>
      </c>
      <c r="BN64" s="16" t="s">
        <v>138</v>
      </c>
      <c r="BO64" s="16" t="s">
        <v>138</v>
      </c>
      <c r="BP64" s="16" t="s">
        <v>138</v>
      </c>
      <c r="BQ64" s="16" t="s">
        <v>138</v>
      </c>
      <c r="BR64" s="16">
        <v>7200</v>
      </c>
      <c r="BS64" s="16" t="s">
        <v>138</v>
      </c>
      <c r="BT64" s="16" t="s">
        <v>138</v>
      </c>
      <c r="BU64" s="16" t="s">
        <v>138</v>
      </c>
      <c r="BV64" s="16" t="s">
        <v>138</v>
      </c>
      <c r="BW64" s="16" t="s">
        <v>138</v>
      </c>
      <c r="BX64" s="16">
        <v>7200</v>
      </c>
      <c r="BY64" s="16">
        <v>7200</v>
      </c>
      <c r="BZ64" s="16" t="s">
        <v>138</v>
      </c>
      <c r="CA64" s="16">
        <v>7200</v>
      </c>
      <c r="CB64" s="16" t="s">
        <v>138</v>
      </c>
      <c r="CC64" s="16">
        <v>7200</v>
      </c>
      <c r="CD64" s="16" t="s">
        <v>138</v>
      </c>
      <c r="CE64" s="16">
        <v>7200</v>
      </c>
      <c r="CF64" s="16" t="s">
        <v>138</v>
      </c>
      <c r="CG64" s="16" t="s">
        <v>138</v>
      </c>
      <c r="CH64" s="16" t="s">
        <v>138</v>
      </c>
      <c r="CI64" s="16" t="s">
        <v>138</v>
      </c>
      <c r="CJ64" s="16" t="s">
        <v>138</v>
      </c>
      <c r="CK64" s="16" t="s">
        <v>138</v>
      </c>
      <c r="CL64" s="16" t="s">
        <v>138</v>
      </c>
      <c r="CM64" s="16" t="s">
        <v>138</v>
      </c>
      <c r="CN64" s="16">
        <v>7200</v>
      </c>
      <c r="CO64" s="16">
        <v>7200</v>
      </c>
      <c r="CP64" s="16" t="s">
        <v>138</v>
      </c>
      <c r="CQ64" s="16">
        <v>7200</v>
      </c>
      <c r="CR64" s="16">
        <v>7200</v>
      </c>
      <c r="CS64" s="16">
        <v>7200</v>
      </c>
      <c r="CT64" s="16" t="s">
        <v>138</v>
      </c>
      <c r="CU64" s="16">
        <v>7200</v>
      </c>
      <c r="CV64" s="16">
        <v>7200</v>
      </c>
      <c r="CW64" s="16">
        <v>7200</v>
      </c>
    </row>
    <row r="65" spans="1:101" s="24" customFormat="1" x14ac:dyDescent="0.25">
      <c r="A65" s="13">
        <v>102</v>
      </c>
      <c r="B65" s="16" t="s">
        <v>138</v>
      </c>
      <c r="C65" s="16" t="s">
        <v>138</v>
      </c>
      <c r="D65" s="16">
        <v>7200</v>
      </c>
      <c r="E65" s="16" t="s">
        <v>138</v>
      </c>
      <c r="F65" s="16" t="s">
        <v>138</v>
      </c>
      <c r="G65" s="16" t="s">
        <v>138</v>
      </c>
      <c r="H65" s="16" t="s">
        <v>138</v>
      </c>
      <c r="I65" s="16">
        <v>7200</v>
      </c>
      <c r="J65" s="16" t="s">
        <v>138</v>
      </c>
      <c r="K65" s="16" t="s">
        <v>138</v>
      </c>
      <c r="L65" s="16" t="s">
        <v>138</v>
      </c>
      <c r="M65" s="16" t="s">
        <v>138</v>
      </c>
      <c r="N65" s="16" t="s">
        <v>138</v>
      </c>
      <c r="O65" s="16" t="s">
        <v>138</v>
      </c>
      <c r="P65" s="16" t="s">
        <v>138</v>
      </c>
      <c r="Q65" s="16" t="s">
        <v>138</v>
      </c>
      <c r="R65" s="16" t="s">
        <v>138</v>
      </c>
      <c r="S65" s="16" t="s">
        <v>138</v>
      </c>
      <c r="T65" s="16" t="s">
        <v>138</v>
      </c>
      <c r="U65" s="16">
        <v>7200</v>
      </c>
      <c r="V65" s="16" t="s">
        <v>138</v>
      </c>
      <c r="W65" s="16" t="s">
        <v>138</v>
      </c>
      <c r="X65" s="16" t="s">
        <v>138</v>
      </c>
      <c r="Y65" s="16" t="s">
        <v>138</v>
      </c>
      <c r="Z65" s="16" t="s">
        <v>138</v>
      </c>
      <c r="AA65" s="16" t="s">
        <v>138</v>
      </c>
      <c r="AB65" s="16" t="s">
        <v>138</v>
      </c>
      <c r="AC65" s="16">
        <v>7200</v>
      </c>
      <c r="AD65" s="16" t="s">
        <v>138</v>
      </c>
      <c r="AE65" s="16" t="s">
        <v>138</v>
      </c>
      <c r="AF65" s="16" t="s">
        <v>138</v>
      </c>
      <c r="AG65" s="16" t="s">
        <v>138</v>
      </c>
      <c r="AH65" s="16" t="s">
        <v>138</v>
      </c>
      <c r="AI65" s="16" t="s">
        <v>138</v>
      </c>
      <c r="AJ65" s="16" t="s">
        <v>138</v>
      </c>
      <c r="AK65" s="16" t="s">
        <v>138</v>
      </c>
      <c r="AL65" s="16" t="s">
        <v>138</v>
      </c>
      <c r="AM65" s="16" t="s">
        <v>138</v>
      </c>
      <c r="AN65" s="16">
        <v>7200</v>
      </c>
      <c r="AO65" s="16" t="s">
        <v>138</v>
      </c>
      <c r="AP65" s="16" t="s">
        <v>138</v>
      </c>
      <c r="AQ65" s="16" t="s">
        <v>138</v>
      </c>
      <c r="AR65" s="16" t="s">
        <v>138</v>
      </c>
      <c r="AS65" s="16" t="s">
        <v>138</v>
      </c>
      <c r="AT65" s="16" t="s">
        <v>138</v>
      </c>
      <c r="AU65" s="16" t="s">
        <v>138</v>
      </c>
      <c r="AV65" s="16" t="s">
        <v>138</v>
      </c>
      <c r="AW65" s="16" t="s">
        <v>138</v>
      </c>
      <c r="AX65" s="16" t="s">
        <v>138</v>
      </c>
      <c r="AY65" s="16" t="s">
        <v>138</v>
      </c>
      <c r="AZ65" s="16" t="s">
        <v>138</v>
      </c>
      <c r="BA65" s="16">
        <v>7200</v>
      </c>
      <c r="BB65" s="16">
        <v>7200</v>
      </c>
      <c r="BC65" s="16" t="s">
        <v>138</v>
      </c>
      <c r="BD65" s="16" t="s">
        <v>138</v>
      </c>
      <c r="BE65" s="16" t="s">
        <v>138</v>
      </c>
      <c r="BF65" s="16">
        <v>7200</v>
      </c>
      <c r="BG65" s="16">
        <v>7200</v>
      </c>
      <c r="BH65" s="16" t="s">
        <v>138</v>
      </c>
      <c r="BI65" s="16" t="s">
        <v>138</v>
      </c>
      <c r="BJ65" s="16" t="s">
        <v>138</v>
      </c>
      <c r="BK65" s="16" t="s">
        <v>138</v>
      </c>
      <c r="BL65" s="16" t="s">
        <v>138</v>
      </c>
      <c r="BM65" s="16" t="s">
        <v>138</v>
      </c>
      <c r="BN65" s="16" t="s">
        <v>138</v>
      </c>
      <c r="BO65" s="16" t="s">
        <v>138</v>
      </c>
      <c r="BP65" s="16" t="s">
        <v>138</v>
      </c>
      <c r="BQ65" s="16" t="s">
        <v>138</v>
      </c>
      <c r="BR65" s="16">
        <v>7200</v>
      </c>
      <c r="BS65" s="16" t="s">
        <v>138</v>
      </c>
      <c r="BT65" s="16" t="s">
        <v>138</v>
      </c>
      <c r="BU65" s="16" t="s">
        <v>138</v>
      </c>
      <c r="BV65" s="16" t="s">
        <v>138</v>
      </c>
      <c r="BW65" s="16" t="s">
        <v>138</v>
      </c>
      <c r="BX65" s="16">
        <v>7200</v>
      </c>
      <c r="BY65" s="16">
        <v>7200</v>
      </c>
      <c r="BZ65" s="16" t="s">
        <v>138</v>
      </c>
      <c r="CA65" s="16">
        <v>7200</v>
      </c>
      <c r="CB65" s="16" t="s">
        <v>138</v>
      </c>
      <c r="CC65" s="16">
        <v>7200</v>
      </c>
      <c r="CD65" s="16" t="s">
        <v>138</v>
      </c>
      <c r="CE65" s="16">
        <v>7200</v>
      </c>
      <c r="CF65" s="16" t="s">
        <v>138</v>
      </c>
      <c r="CG65" s="16" t="s">
        <v>138</v>
      </c>
      <c r="CH65" s="16" t="s">
        <v>138</v>
      </c>
      <c r="CI65" s="16" t="s">
        <v>138</v>
      </c>
      <c r="CJ65" s="16" t="s">
        <v>138</v>
      </c>
      <c r="CK65" s="16" t="s">
        <v>138</v>
      </c>
      <c r="CL65" s="16" t="s">
        <v>138</v>
      </c>
      <c r="CM65" s="16" t="s">
        <v>138</v>
      </c>
      <c r="CN65" s="16">
        <v>7200</v>
      </c>
      <c r="CO65" s="16">
        <v>7200</v>
      </c>
      <c r="CP65" s="16" t="s">
        <v>138</v>
      </c>
      <c r="CQ65" s="16">
        <v>7200</v>
      </c>
      <c r="CR65" s="16">
        <v>7200</v>
      </c>
      <c r="CS65" s="16">
        <v>7200</v>
      </c>
      <c r="CT65" s="16" t="s">
        <v>138</v>
      </c>
      <c r="CU65" s="16">
        <v>7200</v>
      </c>
      <c r="CV65" s="16">
        <v>7200</v>
      </c>
      <c r="CW65" s="16">
        <v>7200</v>
      </c>
    </row>
    <row r="66" spans="1:101" s="24" customFormat="1" x14ac:dyDescent="0.25">
      <c r="A66" s="13">
        <v>103</v>
      </c>
      <c r="B66" s="16" t="s">
        <v>138</v>
      </c>
      <c r="C66" s="16" t="s">
        <v>138</v>
      </c>
      <c r="D66" s="16">
        <v>7200</v>
      </c>
      <c r="E66" s="16" t="s">
        <v>138</v>
      </c>
      <c r="F66" s="16" t="s">
        <v>138</v>
      </c>
      <c r="G66" s="16" t="s">
        <v>138</v>
      </c>
      <c r="H66" s="16" t="s">
        <v>138</v>
      </c>
      <c r="I66" s="16">
        <v>7200</v>
      </c>
      <c r="J66" s="16" t="s">
        <v>138</v>
      </c>
      <c r="K66" s="16" t="s">
        <v>138</v>
      </c>
      <c r="L66" s="16" t="s">
        <v>138</v>
      </c>
      <c r="M66" s="16" t="s">
        <v>138</v>
      </c>
      <c r="N66" s="16" t="s">
        <v>138</v>
      </c>
      <c r="O66" s="16" t="s">
        <v>138</v>
      </c>
      <c r="P66" s="16" t="s">
        <v>138</v>
      </c>
      <c r="Q66" s="16" t="s">
        <v>138</v>
      </c>
      <c r="R66" s="16" t="s">
        <v>138</v>
      </c>
      <c r="S66" s="16" t="s">
        <v>138</v>
      </c>
      <c r="T66" s="16" t="s">
        <v>138</v>
      </c>
      <c r="U66" s="16">
        <v>7200</v>
      </c>
      <c r="V66" s="16" t="s">
        <v>138</v>
      </c>
      <c r="W66" s="16" t="s">
        <v>138</v>
      </c>
      <c r="X66" s="16" t="s">
        <v>138</v>
      </c>
      <c r="Y66" s="16" t="s">
        <v>138</v>
      </c>
      <c r="Z66" s="16" t="s">
        <v>138</v>
      </c>
      <c r="AA66" s="16" t="s">
        <v>138</v>
      </c>
      <c r="AB66" s="16" t="s">
        <v>138</v>
      </c>
      <c r="AC66" s="16">
        <v>7200</v>
      </c>
      <c r="AD66" s="16" t="s">
        <v>138</v>
      </c>
      <c r="AE66" s="16" t="s">
        <v>138</v>
      </c>
      <c r="AF66" s="16" t="s">
        <v>138</v>
      </c>
      <c r="AG66" s="16" t="s">
        <v>138</v>
      </c>
      <c r="AH66" s="16" t="s">
        <v>138</v>
      </c>
      <c r="AI66" s="16" t="s">
        <v>138</v>
      </c>
      <c r="AJ66" s="16" t="s">
        <v>138</v>
      </c>
      <c r="AK66" s="16" t="s">
        <v>138</v>
      </c>
      <c r="AL66" s="16" t="s">
        <v>138</v>
      </c>
      <c r="AM66" s="16" t="s">
        <v>138</v>
      </c>
      <c r="AN66" s="16">
        <v>7200</v>
      </c>
      <c r="AO66" s="16" t="s">
        <v>138</v>
      </c>
      <c r="AP66" s="16" t="s">
        <v>138</v>
      </c>
      <c r="AQ66" s="16" t="s">
        <v>138</v>
      </c>
      <c r="AR66" s="16" t="s">
        <v>138</v>
      </c>
      <c r="AS66" s="16" t="s">
        <v>138</v>
      </c>
      <c r="AT66" s="16" t="s">
        <v>138</v>
      </c>
      <c r="AU66" s="16" t="s">
        <v>138</v>
      </c>
      <c r="AV66" s="16" t="s">
        <v>138</v>
      </c>
      <c r="AW66" s="16" t="s">
        <v>138</v>
      </c>
      <c r="AX66" s="16" t="s">
        <v>138</v>
      </c>
      <c r="AY66" s="16" t="s">
        <v>138</v>
      </c>
      <c r="AZ66" s="16" t="s">
        <v>138</v>
      </c>
      <c r="BA66" s="16">
        <v>7200</v>
      </c>
      <c r="BB66" s="16">
        <v>7200</v>
      </c>
      <c r="BC66" s="16" t="s">
        <v>138</v>
      </c>
      <c r="BD66" s="16" t="s">
        <v>138</v>
      </c>
      <c r="BE66" s="16" t="s">
        <v>138</v>
      </c>
      <c r="BF66" s="16">
        <v>7200</v>
      </c>
      <c r="BG66" s="16">
        <v>7200</v>
      </c>
      <c r="BH66" s="16" t="s">
        <v>138</v>
      </c>
      <c r="BI66" s="16" t="s">
        <v>138</v>
      </c>
      <c r="BJ66" s="16" t="s">
        <v>138</v>
      </c>
      <c r="BK66" s="16" t="s">
        <v>138</v>
      </c>
      <c r="BL66" s="16" t="s">
        <v>138</v>
      </c>
      <c r="BM66" s="16" t="s">
        <v>138</v>
      </c>
      <c r="BN66" s="16" t="s">
        <v>138</v>
      </c>
      <c r="BO66" s="16" t="s">
        <v>138</v>
      </c>
      <c r="BP66" s="16" t="s">
        <v>138</v>
      </c>
      <c r="BQ66" s="16" t="s">
        <v>138</v>
      </c>
      <c r="BR66" s="16">
        <v>7200</v>
      </c>
      <c r="BS66" s="16" t="s">
        <v>138</v>
      </c>
      <c r="BT66" s="16" t="s">
        <v>138</v>
      </c>
      <c r="BU66" s="16" t="s">
        <v>138</v>
      </c>
      <c r="BV66" s="16" t="s">
        <v>138</v>
      </c>
      <c r="BW66" s="16" t="s">
        <v>138</v>
      </c>
      <c r="BX66" s="16">
        <v>7200</v>
      </c>
      <c r="BY66" s="16">
        <v>7200</v>
      </c>
      <c r="BZ66" s="16" t="s">
        <v>138</v>
      </c>
      <c r="CA66" s="16">
        <v>7200</v>
      </c>
      <c r="CB66" s="16" t="s">
        <v>138</v>
      </c>
      <c r="CC66" s="16">
        <v>7200</v>
      </c>
      <c r="CD66" s="16" t="s">
        <v>138</v>
      </c>
      <c r="CE66" s="16">
        <v>7200</v>
      </c>
      <c r="CF66" s="16" t="s">
        <v>138</v>
      </c>
      <c r="CG66" s="16" t="s">
        <v>138</v>
      </c>
      <c r="CH66" s="16" t="s">
        <v>138</v>
      </c>
      <c r="CI66" s="16" t="s">
        <v>138</v>
      </c>
      <c r="CJ66" s="16" t="s">
        <v>138</v>
      </c>
      <c r="CK66" s="16" t="s">
        <v>138</v>
      </c>
      <c r="CL66" s="16" t="s">
        <v>138</v>
      </c>
      <c r="CM66" s="16" t="s">
        <v>138</v>
      </c>
      <c r="CN66" s="16">
        <v>7200</v>
      </c>
      <c r="CO66" s="16">
        <v>7200</v>
      </c>
      <c r="CP66" s="16" t="s">
        <v>138</v>
      </c>
      <c r="CQ66" s="16">
        <v>7200</v>
      </c>
      <c r="CR66" s="16">
        <v>7200</v>
      </c>
      <c r="CS66" s="16">
        <v>7200</v>
      </c>
      <c r="CT66" s="16" t="s">
        <v>138</v>
      </c>
      <c r="CU66" s="16">
        <v>7200</v>
      </c>
      <c r="CV66" s="16">
        <v>7200</v>
      </c>
      <c r="CW66" s="16">
        <v>7200</v>
      </c>
    </row>
    <row r="67" spans="1:101" s="24" customFormat="1" x14ac:dyDescent="0.25">
      <c r="A67" s="13">
        <v>104</v>
      </c>
      <c r="B67" s="16" t="s">
        <v>138</v>
      </c>
      <c r="C67" s="16" t="s">
        <v>138</v>
      </c>
      <c r="D67" s="16">
        <v>7200</v>
      </c>
      <c r="E67" s="16" t="s">
        <v>138</v>
      </c>
      <c r="F67" s="16" t="s">
        <v>138</v>
      </c>
      <c r="G67" s="16" t="s">
        <v>138</v>
      </c>
      <c r="H67" s="16" t="s">
        <v>138</v>
      </c>
      <c r="I67" s="16">
        <v>7200</v>
      </c>
      <c r="J67" s="16" t="s">
        <v>138</v>
      </c>
      <c r="K67" s="16" t="s">
        <v>138</v>
      </c>
      <c r="L67" s="16" t="s">
        <v>138</v>
      </c>
      <c r="M67" s="16" t="s">
        <v>138</v>
      </c>
      <c r="N67" s="16" t="s">
        <v>138</v>
      </c>
      <c r="O67" s="16" t="s">
        <v>138</v>
      </c>
      <c r="P67" s="16" t="s">
        <v>138</v>
      </c>
      <c r="Q67" s="16" t="s">
        <v>138</v>
      </c>
      <c r="R67" s="16" t="s">
        <v>138</v>
      </c>
      <c r="S67" s="16" t="s">
        <v>138</v>
      </c>
      <c r="T67" s="16" t="s">
        <v>138</v>
      </c>
      <c r="U67" s="16">
        <v>7200</v>
      </c>
      <c r="V67" s="16" t="s">
        <v>138</v>
      </c>
      <c r="W67" s="16" t="s">
        <v>138</v>
      </c>
      <c r="X67" s="16" t="s">
        <v>138</v>
      </c>
      <c r="Y67" s="16" t="s">
        <v>138</v>
      </c>
      <c r="Z67" s="16" t="s">
        <v>138</v>
      </c>
      <c r="AA67" s="16" t="s">
        <v>138</v>
      </c>
      <c r="AB67" s="16" t="s">
        <v>138</v>
      </c>
      <c r="AC67" s="16">
        <v>7200</v>
      </c>
      <c r="AD67" s="16" t="s">
        <v>138</v>
      </c>
      <c r="AE67" s="16" t="s">
        <v>138</v>
      </c>
      <c r="AF67" s="16" t="s">
        <v>138</v>
      </c>
      <c r="AG67" s="16" t="s">
        <v>138</v>
      </c>
      <c r="AH67" s="16" t="s">
        <v>138</v>
      </c>
      <c r="AI67" s="16" t="s">
        <v>138</v>
      </c>
      <c r="AJ67" s="16" t="s">
        <v>138</v>
      </c>
      <c r="AK67" s="16" t="s">
        <v>138</v>
      </c>
      <c r="AL67" s="16" t="s">
        <v>138</v>
      </c>
      <c r="AM67" s="16" t="s">
        <v>138</v>
      </c>
      <c r="AN67" s="16">
        <v>7200</v>
      </c>
      <c r="AO67" s="16" t="s">
        <v>138</v>
      </c>
      <c r="AP67" s="16" t="s">
        <v>138</v>
      </c>
      <c r="AQ67" s="16" t="s">
        <v>138</v>
      </c>
      <c r="AR67" s="16" t="s">
        <v>138</v>
      </c>
      <c r="AS67" s="16" t="s">
        <v>138</v>
      </c>
      <c r="AT67" s="16" t="s">
        <v>138</v>
      </c>
      <c r="AU67" s="16" t="s">
        <v>138</v>
      </c>
      <c r="AV67" s="16" t="s">
        <v>138</v>
      </c>
      <c r="AW67" s="16" t="s">
        <v>138</v>
      </c>
      <c r="AX67" s="16" t="s">
        <v>138</v>
      </c>
      <c r="AY67" s="16" t="s">
        <v>138</v>
      </c>
      <c r="AZ67" s="16" t="s">
        <v>138</v>
      </c>
      <c r="BA67" s="16">
        <v>7200</v>
      </c>
      <c r="BB67" s="16">
        <v>7200</v>
      </c>
      <c r="BC67" s="16" t="s">
        <v>138</v>
      </c>
      <c r="BD67" s="16" t="s">
        <v>138</v>
      </c>
      <c r="BE67" s="16" t="s">
        <v>138</v>
      </c>
      <c r="BF67" s="16">
        <v>7200</v>
      </c>
      <c r="BG67" s="16">
        <v>7200</v>
      </c>
      <c r="BH67" s="16" t="s">
        <v>138</v>
      </c>
      <c r="BI67" s="16" t="s">
        <v>138</v>
      </c>
      <c r="BJ67" s="16" t="s">
        <v>138</v>
      </c>
      <c r="BK67" s="16" t="s">
        <v>138</v>
      </c>
      <c r="BL67" s="16" t="s">
        <v>138</v>
      </c>
      <c r="BM67" s="16" t="s">
        <v>138</v>
      </c>
      <c r="BN67" s="16" t="s">
        <v>138</v>
      </c>
      <c r="BO67" s="16" t="s">
        <v>138</v>
      </c>
      <c r="BP67" s="16" t="s">
        <v>138</v>
      </c>
      <c r="BQ67" s="16" t="s">
        <v>138</v>
      </c>
      <c r="BR67" s="16">
        <v>7200</v>
      </c>
      <c r="BS67" s="16" t="s">
        <v>138</v>
      </c>
      <c r="BT67" s="16" t="s">
        <v>138</v>
      </c>
      <c r="BU67" s="16" t="s">
        <v>138</v>
      </c>
      <c r="BV67" s="16" t="s">
        <v>138</v>
      </c>
      <c r="BW67" s="16" t="s">
        <v>138</v>
      </c>
      <c r="BX67" s="16">
        <v>7200</v>
      </c>
      <c r="BY67" s="16">
        <v>7200</v>
      </c>
      <c r="BZ67" s="16" t="s">
        <v>138</v>
      </c>
      <c r="CA67" s="16">
        <v>7200</v>
      </c>
      <c r="CB67" s="16" t="s">
        <v>138</v>
      </c>
      <c r="CC67" s="16">
        <v>7200</v>
      </c>
      <c r="CD67" s="16" t="s">
        <v>138</v>
      </c>
      <c r="CE67" s="16">
        <v>7200</v>
      </c>
      <c r="CF67" s="16" t="s">
        <v>138</v>
      </c>
      <c r="CG67" s="16" t="s">
        <v>138</v>
      </c>
      <c r="CH67" s="16" t="s">
        <v>138</v>
      </c>
      <c r="CI67" s="16" t="s">
        <v>138</v>
      </c>
      <c r="CJ67" s="16" t="s">
        <v>138</v>
      </c>
      <c r="CK67" s="16" t="s">
        <v>138</v>
      </c>
      <c r="CL67" s="16" t="s">
        <v>138</v>
      </c>
      <c r="CM67" s="16" t="s">
        <v>138</v>
      </c>
      <c r="CN67" s="16">
        <v>7200</v>
      </c>
      <c r="CO67" s="16">
        <v>7200</v>
      </c>
      <c r="CP67" s="16" t="s">
        <v>138</v>
      </c>
      <c r="CQ67" s="16">
        <v>7200</v>
      </c>
      <c r="CR67" s="16">
        <v>7200</v>
      </c>
      <c r="CS67" s="16">
        <v>7200</v>
      </c>
      <c r="CT67" s="16" t="s">
        <v>138</v>
      </c>
      <c r="CU67" s="16">
        <v>7200</v>
      </c>
      <c r="CV67" s="16">
        <v>7200</v>
      </c>
      <c r="CW67" s="16">
        <v>7200</v>
      </c>
    </row>
    <row r="68" spans="1:101" s="24" customFormat="1" x14ac:dyDescent="0.25">
      <c r="A68" s="13">
        <v>105</v>
      </c>
      <c r="B68" s="16" t="s">
        <v>138</v>
      </c>
      <c r="C68" s="16" t="s">
        <v>138</v>
      </c>
      <c r="D68" s="16">
        <v>7200</v>
      </c>
      <c r="E68" s="16" t="s">
        <v>138</v>
      </c>
      <c r="F68" s="16" t="s">
        <v>138</v>
      </c>
      <c r="G68" s="16" t="s">
        <v>138</v>
      </c>
      <c r="H68" s="16" t="s">
        <v>138</v>
      </c>
      <c r="I68" s="16">
        <v>7200</v>
      </c>
      <c r="J68" s="16" t="s">
        <v>138</v>
      </c>
      <c r="K68" s="16" t="s">
        <v>138</v>
      </c>
      <c r="L68" s="16" t="s">
        <v>138</v>
      </c>
      <c r="M68" s="16" t="s">
        <v>138</v>
      </c>
      <c r="N68" s="16" t="s">
        <v>138</v>
      </c>
      <c r="O68" s="16" t="s">
        <v>138</v>
      </c>
      <c r="P68" s="16" t="s">
        <v>138</v>
      </c>
      <c r="Q68" s="16" t="s">
        <v>138</v>
      </c>
      <c r="R68" s="16" t="s">
        <v>138</v>
      </c>
      <c r="S68" s="16" t="s">
        <v>138</v>
      </c>
      <c r="T68" s="16" t="s">
        <v>138</v>
      </c>
      <c r="U68" s="16">
        <v>7200</v>
      </c>
      <c r="V68" s="16" t="s">
        <v>138</v>
      </c>
      <c r="W68" s="16" t="s">
        <v>138</v>
      </c>
      <c r="X68" s="16" t="s">
        <v>138</v>
      </c>
      <c r="Y68" s="16" t="s">
        <v>138</v>
      </c>
      <c r="Z68" s="16" t="s">
        <v>138</v>
      </c>
      <c r="AA68" s="16" t="s">
        <v>138</v>
      </c>
      <c r="AB68" s="16" t="s">
        <v>138</v>
      </c>
      <c r="AC68" s="16">
        <v>7200</v>
      </c>
      <c r="AD68" s="16" t="s">
        <v>138</v>
      </c>
      <c r="AE68" s="16" t="s">
        <v>138</v>
      </c>
      <c r="AF68" s="16" t="s">
        <v>138</v>
      </c>
      <c r="AG68" s="16" t="s">
        <v>138</v>
      </c>
      <c r="AH68" s="16" t="s">
        <v>138</v>
      </c>
      <c r="AI68" s="16" t="s">
        <v>138</v>
      </c>
      <c r="AJ68" s="16" t="s">
        <v>138</v>
      </c>
      <c r="AK68" s="16" t="s">
        <v>138</v>
      </c>
      <c r="AL68" s="16" t="s">
        <v>138</v>
      </c>
      <c r="AM68" s="16" t="s">
        <v>138</v>
      </c>
      <c r="AN68" s="16">
        <v>7200</v>
      </c>
      <c r="AO68" s="16" t="s">
        <v>138</v>
      </c>
      <c r="AP68" s="16" t="s">
        <v>138</v>
      </c>
      <c r="AQ68" s="16" t="s">
        <v>138</v>
      </c>
      <c r="AR68" s="16" t="s">
        <v>138</v>
      </c>
      <c r="AS68" s="16" t="s">
        <v>138</v>
      </c>
      <c r="AT68" s="16" t="s">
        <v>138</v>
      </c>
      <c r="AU68" s="16" t="s">
        <v>138</v>
      </c>
      <c r="AV68" s="16" t="s">
        <v>138</v>
      </c>
      <c r="AW68" s="16" t="s">
        <v>138</v>
      </c>
      <c r="AX68" s="16" t="s">
        <v>138</v>
      </c>
      <c r="AY68" s="16" t="s">
        <v>138</v>
      </c>
      <c r="AZ68" s="16" t="s">
        <v>138</v>
      </c>
      <c r="BA68" s="16">
        <v>7200</v>
      </c>
      <c r="BB68" s="16">
        <v>7200</v>
      </c>
      <c r="BC68" s="16" t="s">
        <v>138</v>
      </c>
      <c r="BD68" s="16" t="s">
        <v>138</v>
      </c>
      <c r="BE68" s="16" t="s">
        <v>138</v>
      </c>
      <c r="BF68" s="16">
        <v>7200</v>
      </c>
      <c r="BG68" s="16">
        <v>7200</v>
      </c>
      <c r="BH68" s="16" t="s">
        <v>138</v>
      </c>
      <c r="BI68" s="16" t="s">
        <v>138</v>
      </c>
      <c r="BJ68" s="16" t="s">
        <v>138</v>
      </c>
      <c r="BK68" s="16" t="s">
        <v>138</v>
      </c>
      <c r="BL68" s="16" t="s">
        <v>138</v>
      </c>
      <c r="BM68" s="16" t="s">
        <v>138</v>
      </c>
      <c r="BN68" s="16" t="s">
        <v>138</v>
      </c>
      <c r="BO68" s="16" t="s">
        <v>138</v>
      </c>
      <c r="BP68" s="16" t="s">
        <v>138</v>
      </c>
      <c r="BQ68" s="16" t="s">
        <v>138</v>
      </c>
      <c r="BR68" s="16">
        <v>7200</v>
      </c>
      <c r="BS68" s="16" t="s">
        <v>138</v>
      </c>
      <c r="BT68" s="16" t="s">
        <v>138</v>
      </c>
      <c r="BU68" s="16" t="s">
        <v>138</v>
      </c>
      <c r="BV68" s="16" t="s">
        <v>138</v>
      </c>
      <c r="BW68" s="16" t="s">
        <v>138</v>
      </c>
      <c r="BX68" s="16">
        <v>7200</v>
      </c>
      <c r="BY68" s="16">
        <v>7200</v>
      </c>
      <c r="BZ68" s="16" t="s">
        <v>138</v>
      </c>
      <c r="CA68" s="16">
        <v>7200</v>
      </c>
      <c r="CB68" s="16" t="s">
        <v>138</v>
      </c>
      <c r="CC68" s="16">
        <v>7200</v>
      </c>
      <c r="CD68" s="16" t="s">
        <v>138</v>
      </c>
      <c r="CE68" s="16">
        <v>7200</v>
      </c>
      <c r="CF68" s="16" t="s">
        <v>138</v>
      </c>
      <c r="CG68" s="16" t="s">
        <v>138</v>
      </c>
      <c r="CH68" s="16" t="s">
        <v>138</v>
      </c>
      <c r="CI68" s="16" t="s">
        <v>138</v>
      </c>
      <c r="CJ68" s="16" t="s">
        <v>138</v>
      </c>
      <c r="CK68" s="16" t="s">
        <v>138</v>
      </c>
      <c r="CL68" s="16" t="s">
        <v>138</v>
      </c>
      <c r="CM68" s="16" t="s">
        <v>138</v>
      </c>
      <c r="CN68" s="16">
        <v>7200</v>
      </c>
      <c r="CO68" s="16">
        <v>7200</v>
      </c>
      <c r="CP68" s="16" t="s">
        <v>138</v>
      </c>
      <c r="CQ68" s="16">
        <v>7200</v>
      </c>
      <c r="CR68" s="16">
        <v>7200</v>
      </c>
      <c r="CS68" s="16">
        <v>7200</v>
      </c>
      <c r="CT68" s="16" t="s">
        <v>138</v>
      </c>
      <c r="CU68" s="16">
        <v>7200</v>
      </c>
      <c r="CV68" s="16">
        <v>7200</v>
      </c>
      <c r="CW68" s="16">
        <v>7200</v>
      </c>
    </row>
    <row r="69" spans="1:101" s="24" customFormat="1" x14ac:dyDescent="0.25">
      <c r="A69" s="13">
        <v>106</v>
      </c>
      <c r="B69" s="16" t="s">
        <v>138</v>
      </c>
      <c r="C69" s="16" t="s">
        <v>138</v>
      </c>
      <c r="D69" s="16">
        <v>7200</v>
      </c>
      <c r="E69" s="16" t="s">
        <v>138</v>
      </c>
      <c r="F69" s="16" t="s">
        <v>138</v>
      </c>
      <c r="G69" s="16" t="s">
        <v>138</v>
      </c>
      <c r="H69" s="16" t="s">
        <v>138</v>
      </c>
      <c r="I69" s="16">
        <v>7200</v>
      </c>
      <c r="J69" s="16" t="s">
        <v>138</v>
      </c>
      <c r="K69" s="16" t="s">
        <v>138</v>
      </c>
      <c r="L69" s="16" t="s">
        <v>138</v>
      </c>
      <c r="M69" s="16" t="s">
        <v>138</v>
      </c>
      <c r="N69" s="16" t="s">
        <v>138</v>
      </c>
      <c r="O69" s="16" t="s">
        <v>138</v>
      </c>
      <c r="P69" s="16" t="s">
        <v>138</v>
      </c>
      <c r="Q69" s="16" t="s">
        <v>138</v>
      </c>
      <c r="R69" s="16" t="s">
        <v>138</v>
      </c>
      <c r="S69" s="16" t="s">
        <v>138</v>
      </c>
      <c r="T69" s="16" t="s">
        <v>138</v>
      </c>
      <c r="U69" s="16">
        <v>7200</v>
      </c>
      <c r="V69" s="16" t="s">
        <v>138</v>
      </c>
      <c r="W69" s="16" t="s">
        <v>138</v>
      </c>
      <c r="X69" s="16" t="s">
        <v>138</v>
      </c>
      <c r="Y69" s="16" t="s">
        <v>138</v>
      </c>
      <c r="Z69" s="16" t="s">
        <v>138</v>
      </c>
      <c r="AA69" s="16" t="s">
        <v>138</v>
      </c>
      <c r="AB69" s="16" t="s">
        <v>138</v>
      </c>
      <c r="AC69" s="16">
        <v>7200</v>
      </c>
      <c r="AD69" s="16" t="s">
        <v>138</v>
      </c>
      <c r="AE69" s="16" t="s">
        <v>138</v>
      </c>
      <c r="AF69" s="16" t="s">
        <v>138</v>
      </c>
      <c r="AG69" s="16" t="s">
        <v>138</v>
      </c>
      <c r="AH69" s="16" t="s">
        <v>138</v>
      </c>
      <c r="AI69" s="16" t="s">
        <v>138</v>
      </c>
      <c r="AJ69" s="16" t="s">
        <v>138</v>
      </c>
      <c r="AK69" s="16" t="s">
        <v>138</v>
      </c>
      <c r="AL69" s="16" t="s">
        <v>138</v>
      </c>
      <c r="AM69" s="16" t="s">
        <v>138</v>
      </c>
      <c r="AN69" s="16">
        <v>7200</v>
      </c>
      <c r="AO69" s="16" t="s">
        <v>138</v>
      </c>
      <c r="AP69" s="16" t="s">
        <v>138</v>
      </c>
      <c r="AQ69" s="16" t="s">
        <v>138</v>
      </c>
      <c r="AR69" s="16" t="s">
        <v>138</v>
      </c>
      <c r="AS69" s="16" t="s">
        <v>138</v>
      </c>
      <c r="AT69" s="16" t="s">
        <v>138</v>
      </c>
      <c r="AU69" s="16" t="s">
        <v>138</v>
      </c>
      <c r="AV69" s="16" t="s">
        <v>138</v>
      </c>
      <c r="AW69" s="16" t="s">
        <v>138</v>
      </c>
      <c r="AX69" s="16" t="s">
        <v>138</v>
      </c>
      <c r="AY69" s="16" t="s">
        <v>138</v>
      </c>
      <c r="AZ69" s="16" t="s">
        <v>138</v>
      </c>
      <c r="BA69" s="16">
        <v>7200</v>
      </c>
      <c r="BB69" s="16">
        <v>7200</v>
      </c>
      <c r="BC69" s="16" t="s">
        <v>138</v>
      </c>
      <c r="BD69" s="16" t="s">
        <v>138</v>
      </c>
      <c r="BE69" s="16" t="s">
        <v>138</v>
      </c>
      <c r="BF69" s="16">
        <v>7200</v>
      </c>
      <c r="BG69" s="16">
        <v>7200</v>
      </c>
      <c r="BH69" s="16" t="s">
        <v>138</v>
      </c>
      <c r="BI69" s="16" t="s">
        <v>138</v>
      </c>
      <c r="BJ69" s="16" t="s">
        <v>138</v>
      </c>
      <c r="BK69" s="16" t="s">
        <v>138</v>
      </c>
      <c r="BL69" s="16" t="s">
        <v>138</v>
      </c>
      <c r="BM69" s="16" t="s">
        <v>138</v>
      </c>
      <c r="BN69" s="16" t="s">
        <v>138</v>
      </c>
      <c r="BO69" s="16" t="s">
        <v>138</v>
      </c>
      <c r="BP69" s="16" t="s">
        <v>138</v>
      </c>
      <c r="BQ69" s="16" t="s">
        <v>138</v>
      </c>
      <c r="BR69" s="16">
        <v>7200</v>
      </c>
      <c r="BS69" s="16" t="s">
        <v>138</v>
      </c>
      <c r="BT69" s="16" t="s">
        <v>138</v>
      </c>
      <c r="BU69" s="16" t="s">
        <v>138</v>
      </c>
      <c r="BV69" s="16" t="s">
        <v>138</v>
      </c>
      <c r="BW69" s="16" t="s">
        <v>138</v>
      </c>
      <c r="BX69" s="16">
        <v>7200</v>
      </c>
      <c r="BY69" s="16">
        <v>7200</v>
      </c>
      <c r="BZ69" s="16" t="s">
        <v>138</v>
      </c>
      <c r="CA69" s="16">
        <v>7200</v>
      </c>
      <c r="CB69" s="16" t="s">
        <v>138</v>
      </c>
      <c r="CC69" s="16">
        <v>7200</v>
      </c>
      <c r="CD69" s="16" t="s">
        <v>138</v>
      </c>
      <c r="CE69" s="16">
        <v>7200</v>
      </c>
      <c r="CF69" s="16" t="s">
        <v>138</v>
      </c>
      <c r="CG69" s="16" t="s">
        <v>138</v>
      </c>
      <c r="CH69" s="16" t="s">
        <v>138</v>
      </c>
      <c r="CI69" s="16" t="s">
        <v>138</v>
      </c>
      <c r="CJ69" s="16" t="s">
        <v>138</v>
      </c>
      <c r="CK69" s="16" t="s">
        <v>138</v>
      </c>
      <c r="CL69" s="16" t="s">
        <v>138</v>
      </c>
      <c r="CM69" s="16" t="s">
        <v>138</v>
      </c>
      <c r="CN69" s="16">
        <v>7200</v>
      </c>
      <c r="CO69" s="16">
        <v>7200</v>
      </c>
      <c r="CP69" s="16" t="s">
        <v>138</v>
      </c>
      <c r="CQ69" s="16">
        <v>7200</v>
      </c>
      <c r="CR69" s="16">
        <v>7200</v>
      </c>
      <c r="CS69" s="16">
        <v>7200</v>
      </c>
      <c r="CT69" s="16" t="s">
        <v>138</v>
      </c>
      <c r="CU69" s="16">
        <v>7200</v>
      </c>
      <c r="CV69" s="16">
        <v>7200</v>
      </c>
      <c r="CW69" s="16">
        <v>7200</v>
      </c>
    </row>
    <row r="70" spans="1:101" s="24" customFormat="1" x14ac:dyDescent="0.25">
      <c r="A70" s="13">
        <v>107</v>
      </c>
      <c r="B70" s="16" t="s">
        <v>138</v>
      </c>
      <c r="C70" s="16" t="s">
        <v>138</v>
      </c>
      <c r="D70" s="16">
        <v>7200</v>
      </c>
      <c r="E70" s="16" t="s">
        <v>138</v>
      </c>
      <c r="F70" s="16" t="s">
        <v>138</v>
      </c>
      <c r="G70" s="16" t="s">
        <v>138</v>
      </c>
      <c r="H70" s="16" t="s">
        <v>138</v>
      </c>
      <c r="I70" s="16">
        <v>7200</v>
      </c>
      <c r="J70" s="16" t="s">
        <v>138</v>
      </c>
      <c r="K70" s="16" t="s">
        <v>138</v>
      </c>
      <c r="L70" s="16" t="s">
        <v>138</v>
      </c>
      <c r="M70" s="16" t="s">
        <v>138</v>
      </c>
      <c r="N70" s="16" t="s">
        <v>138</v>
      </c>
      <c r="O70" s="16" t="s">
        <v>138</v>
      </c>
      <c r="P70" s="16" t="s">
        <v>138</v>
      </c>
      <c r="Q70" s="16" t="s">
        <v>138</v>
      </c>
      <c r="R70" s="16" t="s">
        <v>138</v>
      </c>
      <c r="S70" s="16" t="s">
        <v>138</v>
      </c>
      <c r="T70" s="16" t="s">
        <v>138</v>
      </c>
      <c r="U70" s="16">
        <v>7200</v>
      </c>
      <c r="V70" s="16" t="s">
        <v>138</v>
      </c>
      <c r="W70" s="16" t="s">
        <v>138</v>
      </c>
      <c r="X70" s="16" t="s">
        <v>138</v>
      </c>
      <c r="Y70" s="16" t="s">
        <v>138</v>
      </c>
      <c r="Z70" s="16" t="s">
        <v>138</v>
      </c>
      <c r="AA70" s="16" t="s">
        <v>138</v>
      </c>
      <c r="AB70" s="16" t="s">
        <v>138</v>
      </c>
      <c r="AC70" s="16">
        <v>7200</v>
      </c>
      <c r="AD70" s="16" t="s">
        <v>138</v>
      </c>
      <c r="AE70" s="16" t="s">
        <v>138</v>
      </c>
      <c r="AF70" s="16" t="s">
        <v>138</v>
      </c>
      <c r="AG70" s="16" t="s">
        <v>138</v>
      </c>
      <c r="AH70" s="16" t="s">
        <v>138</v>
      </c>
      <c r="AI70" s="16" t="s">
        <v>138</v>
      </c>
      <c r="AJ70" s="16" t="s">
        <v>138</v>
      </c>
      <c r="AK70" s="16" t="s">
        <v>138</v>
      </c>
      <c r="AL70" s="16" t="s">
        <v>138</v>
      </c>
      <c r="AM70" s="16" t="s">
        <v>138</v>
      </c>
      <c r="AN70" s="16">
        <v>7200</v>
      </c>
      <c r="AO70" s="16" t="s">
        <v>138</v>
      </c>
      <c r="AP70" s="16" t="s">
        <v>138</v>
      </c>
      <c r="AQ70" s="16" t="s">
        <v>138</v>
      </c>
      <c r="AR70" s="16" t="s">
        <v>138</v>
      </c>
      <c r="AS70" s="16" t="s">
        <v>138</v>
      </c>
      <c r="AT70" s="16" t="s">
        <v>138</v>
      </c>
      <c r="AU70" s="16" t="s">
        <v>138</v>
      </c>
      <c r="AV70" s="16" t="s">
        <v>138</v>
      </c>
      <c r="AW70" s="16" t="s">
        <v>138</v>
      </c>
      <c r="AX70" s="16" t="s">
        <v>138</v>
      </c>
      <c r="AY70" s="16" t="s">
        <v>138</v>
      </c>
      <c r="AZ70" s="16" t="s">
        <v>138</v>
      </c>
      <c r="BA70" s="16">
        <v>7200</v>
      </c>
      <c r="BB70" s="16">
        <v>7200</v>
      </c>
      <c r="BC70" s="16" t="s">
        <v>138</v>
      </c>
      <c r="BD70" s="16" t="s">
        <v>138</v>
      </c>
      <c r="BE70" s="16" t="s">
        <v>138</v>
      </c>
      <c r="BF70" s="16">
        <v>7200</v>
      </c>
      <c r="BG70" s="16">
        <v>7200</v>
      </c>
      <c r="BH70" s="16" t="s">
        <v>138</v>
      </c>
      <c r="BI70" s="16" t="s">
        <v>138</v>
      </c>
      <c r="BJ70" s="16" t="s">
        <v>138</v>
      </c>
      <c r="BK70" s="16" t="s">
        <v>138</v>
      </c>
      <c r="BL70" s="16" t="s">
        <v>138</v>
      </c>
      <c r="BM70" s="16" t="s">
        <v>138</v>
      </c>
      <c r="BN70" s="16" t="s">
        <v>138</v>
      </c>
      <c r="BO70" s="16" t="s">
        <v>138</v>
      </c>
      <c r="BP70" s="16" t="s">
        <v>138</v>
      </c>
      <c r="BQ70" s="16" t="s">
        <v>138</v>
      </c>
      <c r="BR70" s="16">
        <v>7200</v>
      </c>
      <c r="BS70" s="16" t="s">
        <v>138</v>
      </c>
      <c r="BT70" s="16" t="s">
        <v>138</v>
      </c>
      <c r="BU70" s="16" t="s">
        <v>138</v>
      </c>
      <c r="BV70" s="16" t="s">
        <v>138</v>
      </c>
      <c r="BW70" s="16" t="s">
        <v>138</v>
      </c>
      <c r="BX70" s="16">
        <v>7200</v>
      </c>
      <c r="BY70" s="16">
        <v>7200</v>
      </c>
      <c r="BZ70" s="16" t="s">
        <v>138</v>
      </c>
      <c r="CA70" s="16">
        <v>7200</v>
      </c>
      <c r="CB70" s="16" t="s">
        <v>138</v>
      </c>
      <c r="CC70" s="16">
        <v>7200</v>
      </c>
      <c r="CD70" s="16" t="s">
        <v>138</v>
      </c>
      <c r="CE70" s="16">
        <v>7200</v>
      </c>
      <c r="CF70" s="16" t="s">
        <v>138</v>
      </c>
      <c r="CG70" s="16" t="s">
        <v>138</v>
      </c>
      <c r="CH70" s="16" t="s">
        <v>138</v>
      </c>
      <c r="CI70" s="16" t="s">
        <v>138</v>
      </c>
      <c r="CJ70" s="16" t="s">
        <v>138</v>
      </c>
      <c r="CK70" s="16" t="s">
        <v>138</v>
      </c>
      <c r="CL70" s="16" t="s">
        <v>138</v>
      </c>
      <c r="CM70" s="16" t="s">
        <v>138</v>
      </c>
      <c r="CN70" s="16">
        <v>7200</v>
      </c>
      <c r="CO70" s="16">
        <v>7200</v>
      </c>
      <c r="CP70" s="16" t="s">
        <v>138</v>
      </c>
      <c r="CQ70" s="16">
        <v>7200</v>
      </c>
      <c r="CR70" s="16">
        <v>7200</v>
      </c>
      <c r="CS70" s="16">
        <v>7200</v>
      </c>
      <c r="CT70" s="16" t="s">
        <v>138</v>
      </c>
      <c r="CU70" s="16">
        <v>7200</v>
      </c>
      <c r="CV70" s="16">
        <v>7200</v>
      </c>
      <c r="CW70" s="16">
        <v>7200</v>
      </c>
    </row>
    <row r="71" spans="1:101" s="24" customFormat="1" x14ac:dyDescent="0.25">
      <c r="A71" s="13">
        <v>108</v>
      </c>
      <c r="B71" s="16" t="s">
        <v>138</v>
      </c>
      <c r="C71" s="16" t="s">
        <v>138</v>
      </c>
      <c r="D71" s="16">
        <v>7200</v>
      </c>
      <c r="E71" s="16" t="s">
        <v>138</v>
      </c>
      <c r="F71" s="16" t="s">
        <v>138</v>
      </c>
      <c r="G71" s="16" t="s">
        <v>138</v>
      </c>
      <c r="H71" s="16" t="s">
        <v>138</v>
      </c>
      <c r="I71" s="16">
        <v>7200</v>
      </c>
      <c r="J71" s="16" t="s">
        <v>138</v>
      </c>
      <c r="K71" s="16" t="s">
        <v>138</v>
      </c>
      <c r="L71" s="16" t="s">
        <v>138</v>
      </c>
      <c r="M71" s="16" t="s">
        <v>138</v>
      </c>
      <c r="N71" s="16" t="s">
        <v>138</v>
      </c>
      <c r="O71" s="16" t="s">
        <v>138</v>
      </c>
      <c r="P71" s="16" t="s">
        <v>138</v>
      </c>
      <c r="Q71" s="16" t="s">
        <v>138</v>
      </c>
      <c r="R71" s="16" t="s">
        <v>138</v>
      </c>
      <c r="S71" s="16" t="s">
        <v>138</v>
      </c>
      <c r="T71" s="16" t="s">
        <v>138</v>
      </c>
      <c r="U71" s="16">
        <v>7200</v>
      </c>
      <c r="V71" s="16" t="s">
        <v>138</v>
      </c>
      <c r="W71" s="16" t="s">
        <v>138</v>
      </c>
      <c r="X71" s="16" t="s">
        <v>138</v>
      </c>
      <c r="Y71" s="16" t="s">
        <v>138</v>
      </c>
      <c r="Z71" s="16" t="s">
        <v>138</v>
      </c>
      <c r="AA71" s="16" t="s">
        <v>138</v>
      </c>
      <c r="AB71" s="16" t="s">
        <v>138</v>
      </c>
      <c r="AC71" s="16">
        <v>7200</v>
      </c>
      <c r="AD71" s="16" t="s">
        <v>138</v>
      </c>
      <c r="AE71" s="16" t="s">
        <v>138</v>
      </c>
      <c r="AF71" s="16" t="s">
        <v>138</v>
      </c>
      <c r="AG71" s="16" t="s">
        <v>138</v>
      </c>
      <c r="AH71" s="16" t="s">
        <v>138</v>
      </c>
      <c r="AI71" s="16" t="s">
        <v>138</v>
      </c>
      <c r="AJ71" s="16" t="s">
        <v>138</v>
      </c>
      <c r="AK71" s="16" t="s">
        <v>138</v>
      </c>
      <c r="AL71" s="16" t="s">
        <v>138</v>
      </c>
      <c r="AM71" s="16" t="s">
        <v>138</v>
      </c>
      <c r="AN71" s="16">
        <v>7200</v>
      </c>
      <c r="AO71" s="16" t="s">
        <v>138</v>
      </c>
      <c r="AP71" s="16" t="s">
        <v>138</v>
      </c>
      <c r="AQ71" s="16" t="s">
        <v>138</v>
      </c>
      <c r="AR71" s="16" t="s">
        <v>138</v>
      </c>
      <c r="AS71" s="16" t="s">
        <v>138</v>
      </c>
      <c r="AT71" s="16" t="s">
        <v>138</v>
      </c>
      <c r="AU71" s="16" t="s">
        <v>138</v>
      </c>
      <c r="AV71" s="16" t="s">
        <v>138</v>
      </c>
      <c r="AW71" s="16" t="s">
        <v>138</v>
      </c>
      <c r="AX71" s="16" t="s">
        <v>138</v>
      </c>
      <c r="AY71" s="16" t="s">
        <v>138</v>
      </c>
      <c r="AZ71" s="16" t="s">
        <v>138</v>
      </c>
      <c r="BA71" s="16">
        <v>7200</v>
      </c>
      <c r="BB71" s="16">
        <v>7200</v>
      </c>
      <c r="BC71" s="16" t="s">
        <v>138</v>
      </c>
      <c r="BD71" s="16" t="s">
        <v>138</v>
      </c>
      <c r="BE71" s="16" t="s">
        <v>138</v>
      </c>
      <c r="BF71" s="16">
        <v>7200</v>
      </c>
      <c r="BG71" s="16">
        <v>7200</v>
      </c>
      <c r="BH71" s="16" t="s">
        <v>138</v>
      </c>
      <c r="BI71" s="16" t="s">
        <v>138</v>
      </c>
      <c r="BJ71" s="16" t="s">
        <v>138</v>
      </c>
      <c r="BK71" s="16" t="s">
        <v>138</v>
      </c>
      <c r="BL71" s="16" t="s">
        <v>138</v>
      </c>
      <c r="BM71" s="16" t="s">
        <v>138</v>
      </c>
      <c r="BN71" s="16" t="s">
        <v>138</v>
      </c>
      <c r="BO71" s="16" t="s">
        <v>138</v>
      </c>
      <c r="BP71" s="16" t="s">
        <v>138</v>
      </c>
      <c r="BQ71" s="16" t="s">
        <v>138</v>
      </c>
      <c r="BR71" s="16">
        <v>7200</v>
      </c>
      <c r="BS71" s="16" t="s">
        <v>138</v>
      </c>
      <c r="BT71" s="16" t="s">
        <v>138</v>
      </c>
      <c r="BU71" s="16" t="s">
        <v>138</v>
      </c>
      <c r="BV71" s="16" t="s">
        <v>138</v>
      </c>
      <c r="BW71" s="16" t="s">
        <v>138</v>
      </c>
      <c r="BX71" s="16">
        <v>7200</v>
      </c>
      <c r="BY71" s="16">
        <v>7200</v>
      </c>
      <c r="BZ71" s="16" t="s">
        <v>138</v>
      </c>
      <c r="CA71" s="16">
        <v>7200</v>
      </c>
      <c r="CB71" s="16" t="s">
        <v>138</v>
      </c>
      <c r="CC71" s="16">
        <v>7200</v>
      </c>
      <c r="CD71" s="16" t="s">
        <v>138</v>
      </c>
      <c r="CE71" s="16">
        <v>7200</v>
      </c>
      <c r="CF71" s="16" t="s">
        <v>138</v>
      </c>
      <c r="CG71" s="16" t="s">
        <v>138</v>
      </c>
      <c r="CH71" s="16" t="s">
        <v>138</v>
      </c>
      <c r="CI71" s="16" t="s">
        <v>138</v>
      </c>
      <c r="CJ71" s="16" t="s">
        <v>138</v>
      </c>
      <c r="CK71" s="16" t="s">
        <v>138</v>
      </c>
      <c r="CL71" s="16" t="s">
        <v>138</v>
      </c>
      <c r="CM71" s="16" t="s">
        <v>138</v>
      </c>
      <c r="CN71" s="16">
        <v>7200</v>
      </c>
      <c r="CO71" s="16">
        <v>7200</v>
      </c>
      <c r="CP71" s="16" t="s">
        <v>138</v>
      </c>
      <c r="CQ71" s="16">
        <v>7200</v>
      </c>
      <c r="CR71" s="16">
        <v>7200</v>
      </c>
      <c r="CS71" s="16">
        <v>7200</v>
      </c>
      <c r="CT71" s="16" t="s">
        <v>138</v>
      </c>
      <c r="CU71" s="16">
        <v>7200</v>
      </c>
      <c r="CV71" s="16">
        <v>7200</v>
      </c>
      <c r="CW71" s="16">
        <v>7200</v>
      </c>
    </row>
    <row r="72" spans="1:101" s="24" customFormat="1" x14ac:dyDescent="0.25">
      <c r="A72" s="13">
        <v>109</v>
      </c>
      <c r="B72" s="16" t="s">
        <v>138</v>
      </c>
      <c r="C72" s="16" t="s">
        <v>138</v>
      </c>
      <c r="D72" s="16">
        <v>7200</v>
      </c>
      <c r="E72" s="16" t="s">
        <v>138</v>
      </c>
      <c r="F72" s="16" t="s">
        <v>138</v>
      </c>
      <c r="G72" s="16" t="s">
        <v>138</v>
      </c>
      <c r="H72" s="16" t="s">
        <v>138</v>
      </c>
      <c r="I72" s="16">
        <v>7200</v>
      </c>
      <c r="J72" s="16" t="s">
        <v>138</v>
      </c>
      <c r="K72" s="16" t="s">
        <v>138</v>
      </c>
      <c r="L72" s="16" t="s">
        <v>138</v>
      </c>
      <c r="M72" s="16" t="s">
        <v>138</v>
      </c>
      <c r="N72" s="16" t="s">
        <v>138</v>
      </c>
      <c r="O72" s="16" t="s">
        <v>138</v>
      </c>
      <c r="P72" s="16" t="s">
        <v>138</v>
      </c>
      <c r="Q72" s="16" t="s">
        <v>138</v>
      </c>
      <c r="R72" s="16" t="s">
        <v>138</v>
      </c>
      <c r="S72" s="16" t="s">
        <v>138</v>
      </c>
      <c r="T72" s="16" t="s">
        <v>138</v>
      </c>
      <c r="U72" s="16">
        <v>7200</v>
      </c>
      <c r="V72" s="16" t="s">
        <v>138</v>
      </c>
      <c r="W72" s="16" t="s">
        <v>138</v>
      </c>
      <c r="X72" s="16" t="s">
        <v>138</v>
      </c>
      <c r="Y72" s="16" t="s">
        <v>138</v>
      </c>
      <c r="Z72" s="16" t="s">
        <v>138</v>
      </c>
      <c r="AA72" s="16" t="s">
        <v>138</v>
      </c>
      <c r="AB72" s="16" t="s">
        <v>138</v>
      </c>
      <c r="AC72" s="16">
        <v>7200</v>
      </c>
      <c r="AD72" s="16" t="s">
        <v>138</v>
      </c>
      <c r="AE72" s="16" t="s">
        <v>138</v>
      </c>
      <c r="AF72" s="16" t="s">
        <v>138</v>
      </c>
      <c r="AG72" s="16" t="s">
        <v>138</v>
      </c>
      <c r="AH72" s="16" t="s">
        <v>138</v>
      </c>
      <c r="AI72" s="16" t="s">
        <v>138</v>
      </c>
      <c r="AJ72" s="16" t="s">
        <v>138</v>
      </c>
      <c r="AK72" s="16" t="s">
        <v>138</v>
      </c>
      <c r="AL72" s="16" t="s">
        <v>138</v>
      </c>
      <c r="AM72" s="16" t="s">
        <v>138</v>
      </c>
      <c r="AN72" s="16">
        <v>7200</v>
      </c>
      <c r="AO72" s="16" t="s">
        <v>138</v>
      </c>
      <c r="AP72" s="16" t="s">
        <v>138</v>
      </c>
      <c r="AQ72" s="16" t="s">
        <v>138</v>
      </c>
      <c r="AR72" s="16" t="s">
        <v>138</v>
      </c>
      <c r="AS72" s="16" t="s">
        <v>138</v>
      </c>
      <c r="AT72" s="16" t="s">
        <v>138</v>
      </c>
      <c r="AU72" s="16" t="s">
        <v>138</v>
      </c>
      <c r="AV72" s="16" t="s">
        <v>138</v>
      </c>
      <c r="AW72" s="16" t="s">
        <v>138</v>
      </c>
      <c r="AX72" s="16" t="s">
        <v>138</v>
      </c>
      <c r="AY72" s="16" t="s">
        <v>138</v>
      </c>
      <c r="AZ72" s="16" t="s">
        <v>138</v>
      </c>
      <c r="BA72" s="16">
        <v>7200</v>
      </c>
      <c r="BB72" s="16">
        <v>7200</v>
      </c>
      <c r="BC72" s="16" t="s">
        <v>138</v>
      </c>
      <c r="BD72" s="16" t="s">
        <v>138</v>
      </c>
      <c r="BE72" s="16" t="s">
        <v>138</v>
      </c>
      <c r="BF72" s="16">
        <v>7200</v>
      </c>
      <c r="BG72" s="16">
        <v>7200</v>
      </c>
      <c r="BH72" s="16" t="s">
        <v>138</v>
      </c>
      <c r="BI72" s="16" t="s">
        <v>138</v>
      </c>
      <c r="BJ72" s="16" t="s">
        <v>138</v>
      </c>
      <c r="BK72" s="16" t="s">
        <v>138</v>
      </c>
      <c r="BL72" s="16" t="s">
        <v>138</v>
      </c>
      <c r="BM72" s="16" t="s">
        <v>138</v>
      </c>
      <c r="BN72" s="16" t="s">
        <v>138</v>
      </c>
      <c r="BO72" s="16" t="s">
        <v>138</v>
      </c>
      <c r="BP72" s="16" t="s">
        <v>138</v>
      </c>
      <c r="BQ72" s="16" t="s">
        <v>138</v>
      </c>
      <c r="BR72" s="16">
        <v>7200</v>
      </c>
      <c r="BS72" s="16" t="s">
        <v>138</v>
      </c>
      <c r="BT72" s="16" t="s">
        <v>138</v>
      </c>
      <c r="BU72" s="16" t="s">
        <v>138</v>
      </c>
      <c r="BV72" s="16" t="s">
        <v>138</v>
      </c>
      <c r="BW72" s="16" t="s">
        <v>138</v>
      </c>
      <c r="BX72" s="16">
        <v>7200</v>
      </c>
      <c r="BY72" s="16">
        <v>7200</v>
      </c>
      <c r="BZ72" s="16" t="s">
        <v>138</v>
      </c>
      <c r="CA72" s="16">
        <v>7200</v>
      </c>
      <c r="CB72" s="16" t="s">
        <v>138</v>
      </c>
      <c r="CC72" s="16">
        <v>7200</v>
      </c>
      <c r="CD72" s="16" t="s">
        <v>138</v>
      </c>
      <c r="CE72" s="16">
        <v>7200</v>
      </c>
      <c r="CF72" s="16" t="s">
        <v>138</v>
      </c>
      <c r="CG72" s="16" t="s">
        <v>138</v>
      </c>
      <c r="CH72" s="16" t="s">
        <v>138</v>
      </c>
      <c r="CI72" s="16" t="s">
        <v>138</v>
      </c>
      <c r="CJ72" s="16" t="s">
        <v>138</v>
      </c>
      <c r="CK72" s="16" t="s">
        <v>138</v>
      </c>
      <c r="CL72" s="16" t="s">
        <v>138</v>
      </c>
      <c r="CM72" s="16" t="s">
        <v>138</v>
      </c>
      <c r="CN72" s="16">
        <v>7200</v>
      </c>
      <c r="CO72" s="16">
        <v>7200</v>
      </c>
      <c r="CP72" s="16" t="s">
        <v>138</v>
      </c>
      <c r="CQ72" s="16">
        <v>7200</v>
      </c>
      <c r="CR72" s="16">
        <v>7200</v>
      </c>
      <c r="CS72" s="16">
        <v>7200</v>
      </c>
      <c r="CT72" s="16" t="s">
        <v>138</v>
      </c>
      <c r="CU72" s="16">
        <v>7200</v>
      </c>
      <c r="CV72" s="16">
        <v>7200</v>
      </c>
      <c r="CW72" s="16">
        <v>7200</v>
      </c>
    </row>
    <row r="73" spans="1:101" x14ac:dyDescent="0.25">
      <c r="A73" s="13">
        <v>110</v>
      </c>
      <c r="B73" s="1" t="s">
        <v>138</v>
      </c>
      <c r="C73" s="1" t="s">
        <v>138</v>
      </c>
      <c r="D73" s="1">
        <v>7200</v>
      </c>
      <c r="E73" s="1" t="s">
        <v>138</v>
      </c>
      <c r="F73" s="1" t="s">
        <v>138</v>
      </c>
      <c r="G73" s="1" t="s">
        <v>138</v>
      </c>
      <c r="H73" s="1" t="s">
        <v>138</v>
      </c>
      <c r="I73" s="1">
        <v>7200</v>
      </c>
      <c r="J73" s="1" t="s">
        <v>138</v>
      </c>
      <c r="K73" s="1" t="s">
        <v>138</v>
      </c>
      <c r="L73" s="1" t="s">
        <v>138</v>
      </c>
      <c r="M73" s="1" t="s">
        <v>138</v>
      </c>
      <c r="N73" s="1" t="s">
        <v>138</v>
      </c>
      <c r="O73" s="1" t="s">
        <v>138</v>
      </c>
      <c r="P73" s="1" t="s">
        <v>138</v>
      </c>
      <c r="Q73" s="1" t="s">
        <v>138</v>
      </c>
      <c r="R73" s="1" t="s">
        <v>138</v>
      </c>
      <c r="S73" s="1" t="s">
        <v>138</v>
      </c>
      <c r="T73" s="1" t="s">
        <v>138</v>
      </c>
      <c r="U73" s="1">
        <v>7200</v>
      </c>
      <c r="V73" s="1" t="s">
        <v>138</v>
      </c>
      <c r="W73" s="1" t="s">
        <v>138</v>
      </c>
      <c r="X73" s="1" t="s">
        <v>138</v>
      </c>
      <c r="Y73" s="1" t="s">
        <v>138</v>
      </c>
      <c r="Z73" s="1" t="s">
        <v>138</v>
      </c>
      <c r="AA73" s="1" t="s">
        <v>138</v>
      </c>
      <c r="AB73" s="1" t="s">
        <v>138</v>
      </c>
      <c r="AC73" s="1">
        <v>7200</v>
      </c>
      <c r="AD73" s="1" t="s">
        <v>138</v>
      </c>
      <c r="AE73" s="1" t="s">
        <v>138</v>
      </c>
      <c r="AF73" s="1" t="s">
        <v>138</v>
      </c>
      <c r="AG73" s="1" t="s">
        <v>138</v>
      </c>
      <c r="AH73" s="1" t="s">
        <v>138</v>
      </c>
      <c r="AI73" s="1" t="s">
        <v>138</v>
      </c>
      <c r="AJ73" s="1" t="s">
        <v>138</v>
      </c>
      <c r="AK73" s="1" t="s">
        <v>138</v>
      </c>
      <c r="AL73" s="1" t="s">
        <v>138</v>
      </c>
      <c r="AM73" s="1" t="s">
        <v>138</v>
      </c>
      <c r="AN73" s="1">
        <v>7200</v>
      </c>
      <c r="AO73" s="1" t="s">
        <v>138</v>
      </c>
      <c r="AP73" s="1" t="s">
        <v>138</v>
      </c>
      <c r="AQ73" s="1" t="s">
        <v>138</v>
      </c>
      <c r="AR73" s="1" t="s">
        <v>138</v>
      </c>
      <c r="AS73" s="1" t="s">
        <v>138</v>
      </c>
      <c r="AT73" s="1" t="s">
        <v>138</v>
      </c>
      <c r="AU73" s="1" t="s">
        <v>138</v>
      </c>
      <c r="AV73" s="1" t="s">
        <v>138</v>
      </c>
      <c r="AW73" s="1" t="s">
        <v>138</v>
      </c>
      <c r="AX73" s="1" t="s">
        <v>138</v>
      </c>
      <c r="AY73" s="1" t="s">
        <v>138</v>
      </c>
      <c r="AZ73" s="1" t="s">
        <v>138</v>
      </c>
      <c r="BA73" s="1">
        <v>7200</v>
      </c>
      <c r="BB73" s="1">
        <v>7200</v>
      </c>
      <c r="BC73" s="1" t="s">
        <v>138</v>
      </c>
      <c r="BD73" s="1" t="s">
        <v>138</v>
      </c>
      <c r="BE73" s="1" t="s">
        <v>138</v>
      </c>
      <c r="BF73" s="1">
        <v>7200</v>
      </c>
      <c r="BG73" s="1">
        <v>7200</v>
      </c>
      <c r="BH73" s="1" t="s">
        <v>138</v>
      </c>
      <c r="BI73" s="1" t="s">
        <v>138</v>
      </c>
      <c r="BJ73" s="1" t="s">
        <v>138</v>
      </c>
      <c r="BK73" s="1" t="s">
        <v>138</v>
      </c>
      <c r="BL73" s="1" t="s">
        <v>138</v>
      </c>
      <c r="BM73" s="1" t="s">
        <v>138</v>
      </c>
      <c r="BN73" s="1" t="s">
        <v>138</v>
      </c>
      <c r="BO73" s="1" t="s">
        <v>138</v>
      </c>
      <c r="BP73" s="1" t="s">
        <v>138</v>
      </c>
      <c r="BQ73" s="1" t="s">
        <v>138</v>
      </c>
      <c r="BR73" s="1">
        <v>7200</v>
      </c>
      <c r="BS73" s="1" t="s">
        <v>138</v>
      </c>
      <c r="BT73" s="1" t="s">
        <v>138</v>
      </c>
      <c r="BU73" s="1" t="s">
        <v>138</v>
      </c>
      <c r="BV73" s="1" t="s">
        <v>138</v>
      </c>
      <c r="BW73" s="1" t="s">
        <v>138</v>
      </c>
      <c r="BX73" s="1">
        <v>7200</v>
      </c>
      <c r="BY73" s="1">
        <v>7200</v>
      </c>
      <c r="BZ73" s="1" t="s">
        <v>138</v>
      </c>
      <c r="CA73" s="1">
        <v>7200</v>
      </c>
      <c r="CB73" s="1" t="s">
        <v>138</v>
      </c>
      <c r="CC73" s="1">
        <v>7200</v>
      </c>
      <c r="CD73" s="1" t="s">
        <v>138</v>
      </c>
      <c r="CE73" s="1">
        <v>7200</v>
      </c>
      <c r="CF73" s="1" t="s">
        <v>138</v>
      </c>
      <c r="CG73" s="1" t="s">
        <v>138</v>
      </c>
      <c r="CH73" s="1" t="s">
        <v>138</v>
      </c>
      <c r="CI73" s="1" t="s">
        <v>138</v>
      </c>
      <c r="CJ73" s="1" t="s">
        <v>138</v>
      </c>
      <c r="CK73" s="1" t="s">
        <v>138</v>
      </c>
      <c r="CL73" s="1" t="s">
        <v>138</v>
      </c>
      <c r="CM73" s="1" t="s">
        <v>138</v>
      </c>
      <c r="CN73" s="1">
        <v>7200</v>
      </c>
      <c r="CO73" s="1">
        <v>7200</v>
      </c>
      <c r="CP73" s="1" t="s">
        <v>138</v>
      </c>
      <c r="CQ73" s="1">
        <v>7200</v>
      </c>
      <c r="CR73" s="1">
        <v>7200</v>
      </c>
      <c r="CS73" s="1">
        <v>7200</v>
      </c>
      <c r="CT73" s="1" t="s">
        <v>138</v>
      </c>
      <c r="CU73" s="1">
        <v>7200</v>
      </c>
      <c r="CV73" s="1">
        <v>7200</v>
      </c>
      <c r="CW73" s="1">
        <v>7200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Annuity_Calc</vt:lpstr>
      <vt:lpstr>Group_Summary</vt:lpstr>
      <vt:lpstr>Data_Sheet</vt:lpstr>
      <vt:lpstr>Formulas</vt:lpstr>
      <vt:lpstr>Payment_Breakdown</vt:lpstr>
      <vt:lpstr>After75</vt:lpstr>
      <vt:lpstr>Ann_Table</vt:lpstr>
      <vt:lpstr>Before75</vt:lpstr>
      <vt:lpstr>FullTable</vt:lpstr>
      <vt:lpstr>Plan_Type</vt:lpstr>
      <vt:lpstr>Year</vt:lpstr>
      <vt:lpstr>Years1</vt:lpstr>
      <vt:lpstr>Years2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</dc:creator>
  <cp:lastModifiedBy>Bryan</cp:lastModifiedBy>
  <dcterms:created xsi:type="dcterms:W3CDTF">2023-08-24T20:40:15Z</dcterms:created>
  <dcterms:modified xsi:type="dcterms:W3CDTF">2023-09-01T04:05:16Z</dcterms:modified>
</cp:coreProperties>
</file>