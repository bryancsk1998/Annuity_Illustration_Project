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Annuity_Illustration_Project\"/>
    </mc:Choice>
  </mc:AlternateContent>
  <xr:revisionPtr revIDLastSave="0" documentId="13_ncr:1_{F4C21BAB-9838-4D47-A478-49192FC343B2}" xr6:coauthVersionLast="47" xr6:coauthVersionMax="47" xr10:uidLastSave="{00000000-0000-0000-0000-000000000000}"/>
  <bookViews>
    <workbookView xWindow="-120" yWindow="-120" windowWidth="29040" windowHeight="16440" activeTab="1" xr2:uid="{FA90EC08-AC8B-4A22-8C0C-FB07EED670F7}"/>
  </bookViews>
  <sheets>
    <sheet name="Annuity_Calc" sheetId="1" r:id="rId1"/>
    <sheet name="Group_Summary" sheetId="8" r:id="rId2"/>
    <sheet name="Data_Sheet" sheetId="3" r:id="rId3"/>
    <sheet name="Formulas" sheetId="2" r:id="rId4"/>
    <sheet name="Payment_Breakdown" sheetId="7" r:id="rId5"/>
  </sheets>
  <definedNames>
    <definedName name="After75">Formulas!$D$40:$J$74</definedName>
    <definedName name="Ann_Table">Annuity_Calc!$E$4:$F$40</definedName>
    <definedName name="Before75">Formulas!$D$4:$J$39</definedName>
    <definedName name="FullTable">Formulas!$D$4:$J$74</definedName>
    <definedName name="Plan_Type">Formulas!$D$3:$J$3</definedName>
    <definedName name="Year">Formulas!$C$4:$C$74</definedName>
    <definedName name="Years1">Formulas!$C$3:$C$39</definedName>
    <definedName name="Years2">Formulas!$C$40:$C$74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" l="1" a="1"/>
  <c r="M5" i="1" s="1"/>
  <c r="A3" i="7" a="1"/>
  <c r="A3" i="7" s="1"/>
  <c r="M36" i="2" l="1"/>
  <c r="M37" i="2" s="1"/>
  <c r="K14" i="1" l="1" a="1"/>
  <c r="K14" i="1" s="1"/>
  <c r="C4" i="2" a="1"/>
  <c r="E5" i="2" l="1" a="1"/>
  <c r="E5" i="2" s="1"/>
  <c r="E16" i="2" a="1"/>
  <c r="E16" i="2" s="1"/>
  <c r="E26" i="2" a="1"/>
  <c r="E26" i="2" s="1"/>
  <c r="E36" i="2" a="1"/>
  <c r="E36" i="2" s="1"/>
  <c r="E57" i="2" a="1"/>
  <c r="E57" i="2" s="1"/>
  <c r="E67" i="2" a="1"/>
  <c r="E67" i="2" s="1"/>
  <c r="E40" i="2" a="1"/>
  <c r="E40" i="2" s="1"/>
  <c r="E31" i="2" a="1"/>
  <c r="E31" i="2" s="1"/>
  <c r="E22" i="2" a="1"/>
  <c r="E22" i="2" s="1"/>
  <c r="E74" i="2" a="1"/>
  <c r="E74" i="2" s="1"/>
  <c r="E25" i="2" a="1"/>
  <c r="E25" i="2" s="1"/>
  <c r="E6" i="2" a="1"/>
  <c r="E6" i="2" s="1"/>
  <c r="E27" i="2" a="1"/>
  <c r="E27" i="2" s="1"/>
  <c r="E37" i="2" a="1"/>
  <c r="E37" i="2" s="1"/>
  <c r="E47" i="2" a="1"/>
  <c r="E47" i="2" s="1"/>
  <c r="E58" i="2" a="1"/>
  <c r="E58" i="2" s="1"/>
  <c r="E68" i="2" a="1"/>
  <c r="E68" i="2" s="1"/>
  <c r="E50" i="2" a="1"/>
  <c r="E50" i="2" s="1"/>
  <c r="E51" i="2" a="1"/>
  <c r="E51" i="2" s="1"/>
  <c r="E72" i="2" a="1"/>
  <c r="E72" i="2" s="1"/>
  <c r="E63" i="2" a="1"/>
  <c r="E63" i="2" s="1"/>
  <c r="E34" i="2" a="1"/>
  <c r="E34" i="2" s="1"/>
  <c r="E24" i="2" a="1"/>
  <c r="E24" i="2" s="1"/>
  <c r="E46" i="2" a="1"/>
  <c r="E46" i="2" s="1"/>
  <c r="E7" i="2" a="1"/>
  <c r="E7" i="2" s="1"/>
  <c r="E17" i="2" a="1"/>
  <c r="E17" i="2" s="1"/>
  <c r="E28" i="2" a="1"/>
  <c r="E28" i="2" s="1"/>
  <c r="E38" i="2" a="1"/>
  <c r="E38" i="2" s="1"/>
  <c r="E48" i="2" a="1"/>
  <c r="E48" i="2" s="1"/>
  <c r="E69" i="2" a="1"/>
  <c r="E69" i="2" s="1"/>
  <c r="E29" i="2" a="1"/>
  <c r="E29" i="2" s="1"/>
  <c r="E41" i="2" a="1"/>
  <c r="E41" i="2" s="1"/>
  <c r="E42" i="2" a="1"/>
  <c r="E42" i="2" s="1"/>
  <c r="E43" i="2" a="1"/>
  <c r="E43" i="2" s="1"/>
  <c r="E54" i="2" a="1"/>
  <c r="E54" i="2" s="1"/>
  <c r="E45" i="2" a="1"/>
  <c r="E45" i="2" s="1"/>
  <c r="E66" i="2" a="1"/>
  <c r="E66" i="2" s="1"/>
  <c r="E8" i="2" a="1"/>
  <c r="E8" i="2" s="1"/>
  <c r="E18" i="2" a="1"/>
  <c r="E18" i="2" s="1"/>
  <c r="E39" i="2" a="1"/>
  <c r="E39" i="2" s="1"/>
  <c r="E49" i="2" a="1"/>
  <c r="E49" i="2" s="1"/>
  <c r="E59" i="2" a="1"/>
  <c r="E59" i="2" s="1"/>
  <c r="E70" i="2" a="1"/>
  <c r="E70" i="2" s="1"/>
  <c r="E61" i="2" a="1"/>
  <c r="E61" i="2" s="1"/>
  <c r="E62" i="2" a="1"/>
  <c r="E62" i="2" s="1"/>
  <c r="E32" i="2" a="1"/>
  <c r="E32" i="2" s="1"/>
  <c r="E13" i="2" a="1"/>
  <c r="E13" i="2" s="1"/>
  <c r="E65" i="2" a="1"/>
  <c r="E65" i="2" s="1"/>
  <c r="E35" i="2" a="1"/>
  <c r="E35" i="2" s="1"/>
  <c r="E9" i="2" a="1"/>
  <c r="E9" i="2" s="1"/>
  <c r="E19" i="2" a="1"/>
  <c r="E19" i="2" s="1"/>
  <c r="E60" i="2" a="1"/>
  <c r="E60" i="2" s="1"/>
  <c r="E64" i="2" a="1"/>
  <c r="E64" i="2" s="1"/>
  <c r="E44" i="2" a="1"/>
  <c r="E44" i="2" s="1"/>
  <c r="E15" i="2" a="1"/>
  <c r="E15" i="2" s="1"/>
  <c r="E10" i="2" a="1"/>
  <c r="E10" i="2" s="1"/>
  <c r="E20" i="2" a="1"/>
  <c r="E20" i="2" s="1"/>
  <c r="E30" i="2" a="1"/>
  <c r="E30" i="2" s="1"/>
  <c r="E71" i="2" a="1"/>
  <c r="E71" i="2" s="1"/>
  <c r="E33" i="2" a="1"/>
  <c r="E33" i="2" s="1"/>
  <c r="E23" i="2" a="1"/>
  <c r="E23" i="2" s="1"/>
  <c r="E21" i="2" a="1"/>
  <c r="E21" i="2" s="1"/>
  <c r="E52" i="2" a="1"/>
  <c r="E52" i="2" s="1"/>
  <c r="E73" i="2" a="1"/>
  <c r="E73" i="2" s="1"/>
  <c r="E53" i="2" a="1"/>
  <c r="E53" i="2" s="1"/>
  <c r="E14" i="2" a="1"/>
  <c r="E14" i="2" s="1"/>
  <c r="E11" i="2" a="1"/>
  <c r="E11" i="2" s="1"/>
  <c r="E12" i="2" a="1"/>
  <c r="E12" i="2" s="1"/>
  <c r="E55" i="2" a="1"/>
  <c r="E55" i="2" s="1"/>
  <c r="E56" i="2" a="1"/>
  <c r="E56" i="2" s="1"/>
  <c r="J14" i="2" a="1"/>
  <c r="J14" i="2" s="1"/>
  <c r="J32" i="2" a="1"/>
  <c r="J32" i="2" s="1"/>
  <c r="J50" i="2" a="1"/>
  <c r="J50" i="2" s="1"/>
  <c r="J68" i="2" a="1"/>
  <c r="J68" i="2" s="1"/>
  <c r="I8" i="2" a="1"/>
  <c r="I8" i="2" s="1"/>
  <c r="I18" i="2" a="1"/>
  <c r="I18" i="2" s="1"/>
  <c r="I39" i="2" a="1"/>
  <c r="I39" i="2" s="1"/>
  <c r="I49" i="2" a="1"/>
  <c r="I49" i="2" s="1"/>
  <c r="I59" i="2" a="1"/>
  <c r="I59" i="2" s="1"/>
  <c r="I70" i="2" a="1"/>
  <c r="I70" i="2" s="1"/>
  <c r="H10" i="2" a="1"/>
  <c r="H10" i="2" s="1"/>
  <c r="H19" i="2" a="1"/>
  <c r="H19" i="2" s="1"/>
  <c r="H28" i="2" a="1"/>
  <c r="H28" i="2" s="1"/>
  <c r="H37" i="2" a="1"/>
  <c r="H37" i="2" s="1"/>
  <c r="H46" i="2" a="1"/>
  <c r="H46" i="2" s="1"/>
  <c r="H55" i="2" a="1"/>
  <c r="H55" i="2" s="1"/>
  <c r="H64" i="2" a="1"/>
  <c r="H64" i="2" s="1"/>
  <c r="H73" i="2" a="1"/>
  <c r="H73" i="2" s="1"/>
  <c r="G20" i="2" a="1"/>
  <c r="G20" i="2" s="1"/>
  <c r="G38" i="2" a="1"/>
  <c r="G38" i="2" s="1"/>
  <c r="G56" i="2" a="1"/>
  <c r="G56" i="2" s="1"/>
  <c r="J28" i="2" a="1"/>
  <c r="J28" i="2" s="1"/>
  <c r="I24" i="2" a="1"/>
  <c r="I24" i="2" s="1"/>
  <c r="H6" i="2" a="1"/>
  <c r="H6" i="2" s="1"/>
  <c r="H51" i="2" a="1"/>
  <c r="H51" i="2" s="1"/>
  <c r="G34" i="2" a="1"/>
  <c r="G34" i="2" s="1"/>
  <c r="I67" i="2" a="1"/>
  <c r="I67" i="2" s="1"/>
  <c r="G63" i="2" a="1"/>
  <c r="G63" i="2" s="1"/>
  <c r="H45" i="2" a="1"/>
  <c r="H45" i="2" s="1"/>
  <c r="G55" i="2" a="1"/>
  <c r="G55" i="2" s="1"/>
  <c r="J5" i="2" a="1"/>
  <c r="J5" i="2" s="1"/>
  <c r="J15" i="2" a="1"/>
  <c r="J15" i="2" s="1"/>
  <c r="J23" i="2" a="1"/>
  <c r="J23" i="2" s="1"/>
  <c r="J33" i="2" a="1"/>
  <c r="J33" i="2" s="1"/>
  <c r="J41" i="2" a="1"/>
  <c r="J41" i="2" s="1"/>
  <c r="J51" i="2" a="1"/>
  <c r="J51" i="2" s="1"/>
  <c r="J59" i="2" a="1"/>
  <c r="J59" i="2" s="1"/>
  <c r="J69" i="2" a="1"/>
  <c r="J69" i="2" s="1"/>
  <c r="I9" i="2" a="1"/>
  <c r="I9" i="2" s="1"/>
  <c r="I19" i="2" a="1"/>
  <c r="I19" i="2" s="1"/>
  <c r="I29" i="2" a="1"/>
  <c r="I29" i="2" s="1"/>
  <c r="I40" i="2" a="1"/>
  <c r="I40" i="2" s="1"/>
  <c r="I50" i="2" a="1"/>
  <c r="I50" i="2" s="1"/>
  <c r="I60" i="2" a="1"/>
  <c r="I60" i="2" s="1"/>
  <c r="G11" i="2" a="1"/>
  <c r="G11" i="2" s="1"/>
  <c r="G21" i="2" a="1"/>
  <c r="G21" i="2" s="1"/>
  <c r="G29" i="2" a="1"/>
  <c r="G29" i="2" s="1"/>
  <c r="G39" i="2" a="1"/>
  <c r="G39" i="2" s="1"/>
  <c r="G47" i="2" a="1"/>
  <c r="G47" i="2" s="1"/>
  <c r="G57" i="2" a="1"/>
  <c r="G57" i="2" s="1"/>
  <c r="G65" i="2" a="1"/>
  <c r="G65" i="2" s="1"/>
  <c r="J46" i="2" a="1"/>
  <c r="J46" i="2" s="1"/>
  <c r="H33" i="2" a="1"/>
  <c r="H33" i="2" s="1"/>
  <c r="G7" i="2" a="1"/>
  <c r="G7" i="2" s="1"/>
  <c r="G52" i="2" a="1"/>
  <c r="G52" i="2" s="1"/>
  <c r="G72" i="2" a="1"/>
  <c r="G72" i="2" s="1"/>
  <c r="H54" i="2" a="1"/>
  <c r="H54" i="2" s="1"/>
  <c r="J6" i="2" a="1"/>
  <c r="J6" i="2" s="1"/>
  <c r="J24" i="2" a="1"/>
  <c r="J24" i="2" s="1"/>
  <c r="J42" i="2" a="1"/>
  <c r="J42" i="2" s="1"/>
  <c r="J60" i="2" a="1"/>
  <c r="J60" i="2" s="1"/>
  <c r="I10" i="2" a="1"/>
  <c r="I10" i="2" s="1"/>
  <c r="I20" i="2" a="1"/>
  <c r="I20" i="2" s="1"/>
  <c r="I30" i="2" a="1"/>
  <c r="I30" i="2" s="1"/>
  <c r="I51" i="2" a="1"/>
  <c r="I51" i="2" s="1"/>
  <c r="I61" i="2" a="1"/>
  <c r="I61" i="2" s="1"/>
  <c r="I71" i="2" a="1"/>
  <c r="I71" i="2" s="1"/>
  <c r="H11" i="2" a="1"/>
  <c r="H11" i="2" s="1"/>
  <c r="H20" i="2" a="1"/>
  <c r="H20" i="2" s="1"/>
  <c r="H29" i="2" a="1"/>
  <c r="H29" i="2" s="1"/>
  <c r="H38" i="2" a="1"/>
  <c r="H38" i="2" s="1"/>
  <c r="H47" i="2" a="1"/>
  <c r="H47" i="2" s="1"/>
  <c r="H56" i="2" a="1"/>
  <c r="H56" i="2" s="1"/>
  <c r="H65" i="2" a="1"/>
  <c r="H65" i="2" s="1"/>
  <c r="H74" i="2" a="1"/>
  <c r="H74" i="2" s="1"/>
  <c r="G12" i="2" a="1"/>
  <c r="G12" i="2" s="1"/>
  <c r="G30" i="2" a="1"/>
  <c r="G30" i="2" s="1"/>
  <c r="G48" i="2" a="1"/>
  <c r="G48" i="2" s="1"/>
  <c r="G66" i="2" a="1"/>
  <c r="G66" i="2" s="1"/>
  <c r="J64" i="2" a="1"/>
  <c r="J64" i="2" s="1"/>
  <c r="H24" i="2" a="1"/>
  <c r="H24" i="2" s="1"/>
  <c r="G43" i="2" a="1"/>
  <c r="G43" i="2" s="1"/>
  <c r="G9" i="2" a="1"/>
  <c r="G9" i="2" s="1"/>
  <c r="G19" i="2" a="1"/>
  <c r="G19" i="2" s="1"/>
  <c r="J7" i="2" a="1"/>
  <c r="J7" i="2" s="1"/>
  <c r="J16" i="2" a="1"/>
  <c r="J16" i="2" s="1"/>
  <c r="J25" i="2" a="1"/>
  <c r="J25" i="2" s="1"/>
  <c r="J34" i="2" a="1"/>
  <c r="J34" i="2" s="1"/>
  <c r="J43" i="2" a="1"/>
  <c r="J43" i="2" s="1"/>
  <c r="J52" i="2" a="1"/>
  <c r="J52" i="2" s="1"/>
  <c r="J61" i="2" a="1"/>
  <c r="J61" i="2" s="1"/>
  <c r="J70" i="2" a="1"/>
  <c r="J70" i="2" s="1"/>
  <c r="I21" i="2" a="1"/>
  <c r="I21" i="2" s="1"/>
  <c r="I31" i="2" a="1"/>
  <c r="I31" i="2" s="1"/>
  <c r="I41" i="2" a="1"/>
  <c r="I41" i="2" s="1"/>
  <c r="I52" i="2" a="1"/>
  <c r="I52" i="2" s="1"/>
  <c r="I62" i="2" a="1"/>
  <c r="I62" i="2" s="1"/>
  <c r="I72" i="2" a="1"/>
  <c r="I72" i="2" s="1"/>
  <c r="H12" i="2" a="1"/>
  <c r="H12" i="2" s="1"/>
  <c r="H21" i="2" a="1"/>
  <c r="H21" i="2" s="1"/>
  <c r="H30" i="2" a="1"/>
  <c r="H30" i="2" s="1"/>
  <c r="H39" i="2" a="1"/>
  <c r="H39" i="2" s="1"/>
  <c r="H48" i="2" a="1"/>
  <c r="H48" i="2" s="1"/>
  <c r="H57" i="2" a="1"/>
  <c r="H57" i="2" s="1"/>
  <c r="H66" i="2" a="1"/>
  <c r="H66" i="2" s="1"/>
  <c r="G13" i="2" a="1"/>
  <c r="G13" i="2" s="1"/>
  <c r="G22" i="2" a="1"/>
  <c r="G22" i="2" s="1"/>
  <c r="G31" i="2" a="1"/>
  <c r="G31" i="2" s="1"/>
  <c r="G40" i="2" a="1"/>
  <c r="G40" i="2" s="1"/>
  <c r="G49" i="2" a="1"/>
  <c r="G49" i="2" s="1"/>
  <c r="G58" i="2" a="1"/>
  <c r="G58" i="2" s="1"/>
  <c r="G67" i="2" a="1"/>
  <c r="G67" i="2" s="1"/>
  <c r="J37" i="2" a="1"/>
  <c r="J37" i="2" s="1"/>
  <c r="J73" i="2" a="1"/>
  <c r="J73" i="2" s="1"/>
  <c r="I55" i="2" a="1"/>
  <c r="I55" i="2" s="1"/>
  <c r="H42" i="2" a="1"/>
  <c r="H42" i="2" s="1"/>
  <c r="G25" i="2" a="1"/>
  <c r="G25" i="2" s="1"/>
  <c r="I36" i="2" a="1"/>
  <c r="I36" i="2" s="1"/>
  <c r="G35" i="2" a="1"/>
  <c r="G35" i="2" s="1"/>
  <c r="G28" i="2" a="1"/>
  <c r="G28" i="2" s="1"/>
  <c r="J8" i="2" a="1"/>
  <c r="J8" i="2" s="1"/>
  <c r="J26" i="2" a="1"/>
  <c r="J26" i="2" s="1"/>
  <c r="J44" i="2" a="1"/>
  <c r="J44" i="2" s="1"/>
  <c r="J62" i="2" a="1"/>
  <c r="J62" i="2" s="1"/>
  <c r="I11" i="2" a="1"/>
  <c r="I11" i="2" s="1"/>
  <c r="I22" i="2" a="1"/>
  <c r="I22" i="2" s="1"/>
  <c r="I32" i="2" a="1"/>
  <c r="I32" i="2" s="1"/>
  <c r="I42" i="2" a="1"/>
  <c r="I42" i="2" s="1"/>
  <c r="I63" i="2" a="1"/>
  <c r="I63" i="2" s="1"/>
  <c r="I73" i="2" a="1"/>
  <c r="I73" i="2" s="1"/>
  <c r="H13" i="2" a="1"/>
  <c r="H13" i="2" s="1"/>
  <c r="H22" i="2" a="1"/>
  <c r="H22" i="2" s="1"/>
  <c r="H31" i="2" a="1"/>
  <c r="H31" i="2" s="1"/>
  <c r="H40" i="2" a="1"/>
  <c r="H40" i="2" s="1"/>
  <c r="H49" i="2" a="1"/>
  <c r="H49" i="2" s="1"/>
  <c r="H58" i="2" a="1"/>
  <c r="H58" i="2" s="1"/>
  <c r="H67" i="2" a="1"/>
  <c r="H67" i="2" s="1"/>
  <c r="G14" i="2" a="1"/>
  <c r="G14" i="2" s="1"/>
  <c r="G32" i="2" a="1"/>
  <c r="G32" i="2" s="1"/>
  <c r="G50" i="2" a="1"/>
  <c r="G50" i="2" s="1"/>
  <c r="G68" i="2" a="1"/>
  <c r="G68" i="2" s="1"/>
  <c r="J55" i="2" a="1"/>
  <c r="J55" i="2" s="1"/>
  <c r="I45" i="2" a="1"/>
  <c r="I45" i="2" s="1"/>
  <c r="H60" i="2" a="1"/>
  <c r="H60" i="2" s="1"/>
  <c r="G70" i="2" a="1"/>
  <c r="G70" i="2" s="1"/>
  <c r="G17" i="2" a="1"/>
  <c r="G17" i="2" s="1"/>
  <c r="H36" i="2" a="1"/>
  <c r="H36" i="2" s="1"/>
  <c r="G46" i="2" a="1"/>
  <c r="G46" i="2" s="1"/>
  <c r="J9" i="2" a="1"/>
  <c r="J9" i="2" s="1"/>
  <c r="J17" i="2" a="1"/>
  <c r="J17" i="2" s="1"/>
  <c r="J27" i="2" a="1"/>
  <c r="J27" i="2" s="1"/>
  <c r="J35" i="2" a="1"/>
  <c r="J35" i="2" s="1"/>
  <c r="J45" i="2" a="1"/>
  <c r="J45" i="2" s="1"/>
  <c r="J53" i="2" a="1"/>
  <c r="J53" i="2" s="1"/>
  <c r="J63" i="2" a="1"/>
  <c r="J63" i="2" s="1"/>
  <c r="J71" i="2" a="1"/>
  <c r="J71" i="2" s="1"/>
  <c r="I12" i="2" a="1"/>
  <c r="I12" i="2" s="1"/>
  <c r="I33" i="2" a="1"/>
  <c r="I33" i="2" s="1"/>
  <c r="I43" i="2" a="1"/>
  <c r="I43" i="2" s="1"/>
  <c r="I53" i="2" a="1"/>
  <c r="I53" i="2" s="1"/>
  <c r="I64" i="2" a="1"/>
  <c r="I64" i="2" s="1"/>
  <c r="I74" i="2" a="1"/>
  <c r="I74" i="2" s="1"/>
  <c r="G5" i="2" a="1"/>
  <c r="G5" i="2" s="1"/>
  <c r="G15" i="2" a="1"/>
  <c r="G15" i="2" s="1"/>
  <c r="G23" i="2" a="1"/>
  <c r="G23" i="2" s="1"/>
  <c r="G33" i="2" a="1"/>
  <c r="G33" i="2" s="1"/>
  <c r="G41" i="2" a="1"/>
  <c r="G41" i="2" s="1"/>
  <c r="G51" i="2" a="1"/>
  <c r="G51" i="2" s="1"/>
  <c r="G59" i="2" a="1"/>
  <c r="G59" i="2" s="1"/>
  <c r="G69" i="2" a="1"/>
  <c r="G69" i="2" s="1"/>
  <c r="J19" i="2" a="1"/>
  <c r="J19" i="2" s="1"/>
  <c r="I65" i="2" a="1"/>
  <c r="I65" i="2" s="1"/>
  <c r="G16" i="2" a="1"/>
  <c r="G16" i="2" s="1"/>
  <c r="G27" i="2" a="1"/>
  <c r="G27" i="2" s="1"/>
  <c r="H18" i="2" a="1"/>
  <c r="H18" i="2" s="1"/>
  <c r="J18" i="2" a="1"/>
  <c r="J18" i="2" s="1"/>
  <c r="J36" i="2" a="1"/>
  <c r="J36" i="2" s="1"/>
  <c r="J54" i="2" a="1"/>
  <c r="J54" i="2" s="1"/>
  <c r="J72" i="2" a="1"/>
  <c r="J72" i="2" s="1"/>
  <c r="I13" i="2" a="1"/>
  <c r="I13" i="2" s="1"/>
  <c r="I23" i="2" a="1"/>
  <c r="I23" i="2" s="1"/>
  <c r="I34" i="2" a="1"/>
  <c r="I34" i="2" s="1"/>
  <c r="I44" i="2" a="1"/>
  <c r="I44" i="2" s="1"/>
  <c r="I54" i="2" a="1"/>
  <c r="I54" i="2" s="1"/>
  <c r="H5" i="2" a="1"/>
  <c r="H5" i="2" s="1"/>
  <c r="H14" i="2" a="1"/>
  <c r="H14" i="2" s="1"/>
  <c r="H23" i="2" a="1"/>
  <c r="H23" i="2" s="1"/>
  <c r="H32" i="2" a="1"/>
  <c r="H32" i="2" s="1"/>
  <c r="H41" i="2" a="1"/>
  <c r="H41" i="2" s="1"/>
  <c r="H50" i="2" a="1"/>
  <c r="H50" i="2" s="1"/>
  <c r="H59" i="2" a="1"/>
  <c r="H59" i="2" s="1"/>
  <c r="H68" i="2" a="1"/>
  <c r="H68" i="2" s="1"/>
  <c r="G6" i="2" a="1"/>
  <c r="G6" i="2" s="1"/>
  <c r="G24" i="2" a="1"/>
  <c r="G24" i="2" s="1"/>
  <c r="G42" i="2" a="1"/>
  <c r="G42" i="2" s="1"/>
  <c r="G60" i="2" a="1"/>
  <c r="G60" i="2" s="1"/>
  <c r="J10" i="2" a="1"/>
  <c r="J10" i="2" s="1"/>
  <c r="I14" i="2" a="1"/>
  <c r="I14" i="2" s="1"/>
  <c r="H15" i="2" a="1"/>
  <c r="H15" i="2" s="1"/>
  <c r="H69" i="2" a="1"/>
  <c r="H69" i="2" s="1"/>
  <c r="G61" i="2" a="1"/>
  <c r="G61" i="2" s="1"/>
  <c r="G53" i="2" a="1"/>
  <c r="G53" i="2" s="1"/>
  <c r="H72" i="2" a="1"/>
  <c r="H72" i="2" s="1"/>
  <c r="G64" i="2" a="1"/>
  <c r="G64" i="2" s="1"/>
  <c r="J20" i="2" a="1"/>
  <c r="J20" i="2" s="1"/>
  <c r="J38" i="2" a="1"/>
  <c r="J38" i="2" s="1"/>
  <c r="J56" i="2" a="1"/>
  <c r="J56" i="2" s="1"/>
  <c r="J74" i="2" a="1"/>
  <c r="J74" i="2" s="1"/>
  <c r="I15" i="2" a="1"/>
  <c r="I15" i="2" s="1"/>
  <c r="I25" i="2" a="1"/>
  <c r="I25" i="2" s="1"/>
  <c r="I35" i="2" a="1"/>
  <c r="I35" i="2" s="1"/>
  <c r="I46" i="2" a="1"/>
  <c r="I46" i="2" s="1"/>
  <c r="I56" i="2" a="1"/>
  <c r="I56" i="2" s="1"/>
  <c r="I66" i="2" a="1"/>
  <c r="I66" i="2" s="1"/>
  <c r="H7" i="2" a="1"/>
  <c r="H7" i="2" s="1"/>
  <c r="H16" i="2" a="1"/>
  <c r="H16" i="2" s="1"/>
  <c r="H25" i="2" a="1"/>
  <c r="H25" i="2" s="1"/>
  <c r="H34" i="2" a="1"/>
  <c r="H34" i="2" s="1"/>
  <c r="H43" i="2" a="1"/>
  <c r="H43" i="2" s="1"/>
  <c r="H52" i="2" a="1"/>
  <c r="H52" i="2" s="1"/>
  <c r="H61" i="2" a="1"/>
  <c r="H61" i="2" s="1"/>
  <c r="H70" i="2" a="1"/>
  <c r="H70" i="2" s="1"/>
  <c r="G8" i="2" a="1"/>
  <c r="G8" i="2" s="1"/>
  <c r="G26" i="2" a="1"/>
  <c r="G26" i="2" s="1"/>
  <c r="G44" i="2" a="1"/>
  <c r="G44" i="2" s="1"/>
  <c r="G62" i="2" a="1"/>
  <c r="G62" i="2" s="1"/>
  <c r="G71" i="2" a="1"/>
  <c r="G71" i="2" s="1"/>
  <c r="J11" i="2" a="1"/>
  <c r="J11" i="2" s="1"/>
  <c r="J21" i="2" a="1"/>
  <c r="J21" i="2" s="1"/>
  <c r="J29" i="2" a="1"/>
  <c r="J29" i="2" s="1"/>
  <c r="J39" i="2" a="1"/>
  <c r="J39" i="2" s="1"/>
  <c r="J47" i="2" a="1"/>
  <c r="J47" i="2" s="1"/>
  <c r="J57" i="2" a="1"/>
  <c r="J57" i="2" s="1"/>
  <c r="J65" i="2" a="1"/>
  <c r="J65" i="2" s="1"/>
  <c r="I5" i="2" a="1"/>
  <c r="I5" i="2" s="1"/>
  <c r="I16" i="2" a="1"/>
  <c r="I16" i="2" s="1"/>
  <c r="I26" i="2" a="1"/>
  <c r="I26" i="2" s="1"/>
  <c r="I57" i="2" a="1"/>
  <c r="I57" i="2" s="1"/>
  <c r="G45" i="2" a="1"/>
  <c r="G45" i="2" s="1"/>
  <c r="G10" i="2" a="1"/>
  <c r="G10" i="2" s="1"/>
  <c r="G74" i="2" a="1"/>
  <c r="G74" i="2" s="1"/>
  <c r="J12" i="2" a="1"/>
  <c r="J12" i="2" s="1"/>
  <c r="J30" i="2" a="1"/>
  <c r="J30" i="2" s="1"/>
  <c r="J48" i="2" a="1"/>
  <c r="J48" i="2" s="1"/>
  <c r="J66" i="2" a="1"/>
  <c r="J66" i="2" s="1"/>
  <c r="I6" i="2" a="1"/>
  <c r="I6" i="2" s="1"/>
  <c r="I27" i="2" a="1"/>
  <c r="I27" i="2" s="1"/>
  <c r="I37" i="2" a="1"/>
  <c r="I37" i="2" s="1"/>
  <c r="I47" i="2" a="1"/>
  <c r="I47" i="2" s="1"/>
  <c r="I58" i="2" a="1"/>
  <c r="I58" i="2" s="1"/>
  <c r="I68" i="2" a="1"/>
  <c r="I68" i="2" s="1"/>
  <c r="H8" i="2" a="1"/>
  <c r="H8" i="2" s="1"/>
  <c r="H17" i="2" a="1"/>
  <c r="H17" i="2" s="1"/>
  <c r="H26" i="2" a="1"/>
  <c r="H26" i="2" s="1"/>
  <c r="H35" i="2" a="1"/>
  <c r="H35" i="2" s="1"/>
  <c r="H44" i="2" a="1"/>
  <c r="H44" i="2" s="1"/>
  <c r="H53" i="2" a="1"/>
  <c r="H53" i="2" s="1"/>
  <c r="H62" i="2" a="1"/>
  <c r="H62" i="2" s="1"/>
  <c r="H71" i="2" a="1"/>
  <c r="H71" i="2" s="1"/>
  <c r="G18" i="2" a="1"/>
  <c r="G18" i="2" s="1"/>
  <c r="G36" i="2" a="1"/>
  <c r="G36" i="2" s="1"/>
  <c r="G54" i="2" a="1"/>
  <c r="G54" i="2" s="1"/>
  <c r="G73" i="2" a="1"/>
  <c r="G73" i="2" s="1"/>
  <c r="J13" i="2" a="1"/>
  <c r="J13" i="2" s="1"/>
  <c r="J22" i="2" a="1"/>
  <c r="J22" i="2" s="1"/>
  <c r="J31" i="2" a="1"/>
  <c r="J31" i="2" s="1"/>
  <c r="J40" i="2" a="1"/>
  <c r="J40" i="2" s="1"/>
  <c r="J49" i="2" a="1"/>
  <c r="J49" i="2" s="1"/>
  <c r="J58" i="2" a="1"/>
  <c r="J58" i="2" s="1"/>
  <c r="J67" i="2" a="1"/>
  <c r="J67" i="2" s="1"/>
  <c r="I7" i="2" a="1"/>
  <c r="I7" i="2" s="1"/>
  <c r="I17" i="2" a="1"/>
  <c r="I17" i="2" s="1"/>
  <c r="I28" i="2" a="1"/>
  <c r="I28" i="2" s="1"/>
  <c r="I38" i="2" a="1"/>
  <c r="I38" i="2" s="1"/>
  <c r="I48" i="2" a="1"/>
  <c r="I48" i="2" s="1"/>
  <c r="I69" i="2" a="1"/>
  <c r="I69" i="2" s="1"/>
  <c r="H9" i="2" a="1"/>
  <c r="H9" i="2" s="1"/>
  <c r="H27" i="2" a="1"/>
  <c r="H27" i="2" s="1"/>
  <c r="H63" i="2" a="1"/>
  <c r="H63" i="2" s="1"/>
  <c r="G37" i="2" a="1"/>
  <c r="G37" i="2" s="1"/>
  <c r="H5" i="1" a="1"/>
  <c r="H5" i="1" s="1"/>
  <c r="D7" i="2" a="1"/>
  <c r="D7" i="2" s="1"/>
  <c r="D19" i="2" a="1"/>
  <c r="D19" i="2" s="1"/>
  <c r="D38" i="2" a="1"/>
  <c r="D38" i="2" s="1"/>
  <c r="D48" i="2" a="1"/>
  <c r="D48" i="2" s="1"/>
  <c r="D24" i="2" a="1"/>
  <c r="D24" i="2" s="1"/>
  <c r="D70" i="2" a="1"/>
  <c r="D70" i="2" s="1"/>
  <c r="D4" i="2" a="1"/>
  <c r="D4" i="2" s="1"/>
  <c r="D44" i="2" a="1"/>
  <c r="D44" i="2" s="1"/>
  <c r="D25" i="2" a="1"/>
  <c r="D25" i="2" s="1"/>
  <c r="D21" i="2" a="1"/>
  <c r="D21" i="2" s="1"/>
  <c r="D55" i="2" a="1"/>
  <c r="D55" i="2" s="1"/>
  <c r="D66" i="2" a="1"/>
  <c r="D66" i="2" s="1"/>
  <c r="D58" i="2" a="1"/>
  <c r="D58" i="2" s="1"/>
  <c r="D32" i="2" a="1"/>
  <c r="D32" i="2" s="1"/>
  <c r="D35" i="2" a="1"/>
  <c r="D35" i="2" s="1"/>
  <c r="D10" i="2" a="1"/>
  <c r="D10" i="2" s="1"/>
  <c r="D53" i="2" a="1"/>
  <c r="D53" i="2" s="1"/>
  <c r="D60" i="2" a="1"/>
  <c r="D60" i="2" s="1"/>
  <c r="D6" i="2" a="1"/>
  <c r="D6" i="2" s="1"/>
  <c r="D68" i="2" a="1"/>
  <c r="D68" i="2" s="1"/>
  <c r="D50" i="2" a="1"/>
  <c r="D50" i="2" s="1"/>
  <c r="D28" i="2" a="1"/>
  <c r="D28" i="2" s="1"/>
  <c r="D18" i="2" a="1"/>
  <c r="D18" i="2" s="1"/>
  <c r="D63" i="2" a="1"/>
  <c r="D63" i="2" s="1"/>
  <c r="D31" i="2" a="1"/>
  <c r="D31" i="2" s="1"/>
  <c r="D29" i="2" a="1"/>
  <c r="D29" i="2" s="1"/>
  <c r="D14" i="2" a="1"/>
  <c r="D14" i="2" s="1"/>
  <c r="D15" i="2" a="1"/>
  <c r="D15" i="2" s="1"/>
  <c r="D59" i="2" a="1"/>
  <c r="D59" i="2" s="1"/>
  <c r="D46" i="2" a="1"/>
  <c r="D46" i="2" s="1"/>
  <c r="D26" i="2" a="1"/>
  <c r="D26" i="2" s="1"/>
  <c r="D72" i="2" a="1"/>
  <c r="D72" i="2" s="1"/>
  <c r="D56" i="2" a="1"/>
  <c r="D56" i="2" s="1"/>
  <c r="D20" i="2" a="1"/>
  <c r="D20" i="2" s="1"/>
  <c r="D22" i="2" a="1"/>
  <c r="D22" i="2" s="1"/>
  <c r="D23" i="2" a="1"/>
  <c r="D23" i="2" s="1"/>
  <c r="D69" i="2" a="1"/>
  <c r="D69" i="2" s="1"/>
  <c r="D9" i="2" a="1"/>
  <c r="D9" i="2" s="1"/>
  <c r="D34" i="2" a="1"/>
  <c r="D34" i="2" s="1"/>
  <c r="D11" i="2" a="1"/>
  <c r="D11" i="2" s="1"/>
  <c r="D61" i="2" a="1"/>
  <c r="D61" i="2" s="1"/>
  <c r="D41" i="2" a="1"/>
  <c r="D41" i="2" s="1"/>
  <c r="D39" i="2" a="1"/>
  <c r="D39" i="2" s="1"/>
  <c r="D30" i="2" a="1"/>
  <c r="D30" i="2" s="1"/>
  <c r="D40" i="2" a="1"/>
  <c r="D40" i="2" s="1"/>
  <c r="D54" i="2" a="1"/>
  <c r="D54" i="2" s="1"/>
  <c r="D17" i="2" a="1"/>
  <c r="D17" i="2" s="1"/>
  <c r="D43" i="2" a="1"/>
  <c r="D43" i="2" s="1"/>
  <c r="D74" i="2" a="1"/>
  <c r="D74" i="2" s="1"/>
  <c r="D27" i="2" a="1"/>
  <c r="D27" i="2" s="1"/>
  <c r="D16" i="2" a="1"/>
  <c r="D16" i="2" s="1"/>
  <c r="D47" i="2" a="1"/>
  <c r="D47" i="2" s="1"/>
  <c r="D49" i="2" a="1"/>
  <c r="D49" i="2" s="1"/>
  <c r="D73" i="2" a="1"/>
  <c r="D73" i="2" s="1"/>
  <c r="D33" i="2" a="1"/>
  <c r="D33" i="2" s="1"/>
  <c r="D52" i="2" a="1"/>
  <c r="D52" i="2" s="1"/>
  <c r="D65" i="2" a="1"/>
  <c r="D65" i="2" s="1"/>
  <c r="D8" i="2" a="1"/>
  <c r="D8" i="2" s="1"/>
  <c r="D57" i="2" a="1"/>
  <c r="D57" i="2" s="1"/>
  <c r="D64" i="2" a="1"/>
  <c r="D64" i="2" s="1"/>
  <c r="D45" i="2" a="1"/>
  <c r="D45" i="2" s="1"/>
  <c r="D42" i="2" a="1"/>
  <c r="D42" i="2" s="1"/>
  <c r="D62" i="2" a="1"/>
  <c r="D62" i="2" s="1"/>
  <c r="D36" i="2" a="1"/>
  <c r="D36" i="2" s="1"/>
  <c r="D13" i="2" a="1"/>
  <c r="D13" i="2" s="1"/>
  <c r="D67" i="2" a="1"/>
  <c r="D67" i="2" s="1"/>
  <c r="D12" i="2" a="1"/>
  <c r="D12" i="2" s="1"/>
  <c r="D37" i="2" a="1"/>
  <c r="D37" i="2" s="1"/>
  <c r="D51" i="2" a="1"/>
  <c r="D51" i="2" s="1"/>
  <c r="D71" i="2" a="1"/>
  <c r="D71" i="2" s="1"/>
  <c r="D5" i="2" a="1"/>
  <c r="D5" i="2" s="1"/>
  <c r="C4" i="2"/>
  <c r="E4" i="2" s="1" a="1"/>
  <c r="E4" i="2" s="1"/>
  <c r="F5" i="2" a="1"/>
  <c r="F5" i="2" s="1"/>
  <c r="F74" i="2" a="1"/>
  <c r="F74" i="2" s="1"/>
  <c r="F48" i="2" a="1"/>
  <c r="F48" i="2" s="1"/>
  <c r="F31" i="2" a="1"/>
  <c r="F31" i="2" s="1"/>
  <c r="F26" i="2" a="1"/>
  <c r="F26" i="2" s="1"/>
  <c r="F33" i="2" a="1"/>
  <c r="F33" i="2" s="1"/>
  <c r="F11" i="2" a="1"/>
  <c r="F11" i="2" s="1"/>
  <c r="F69" i="2" a="1"/>
  <c r="F69" i="2" s="1"/>
  <c r="F54" i="2" a="1"/>
  <c r="F54" i="2" s="1"/>
  <c r="F37" i="2" a="1"/>
  <c r="F37" i="2" s="1"/>
  <c r="F32" i="2" a="1"/>
  <c r="F32" i="2" s="1"/>
  <c r="F39" i="2" a="1"/>
  <c r="F39" i="2" s="1"/>
  <c r="F42" i="2" a="1"/>
  <c r="F42" i="2" s="1"/>
  <c r="F17" i="2" a="1"/>
  <c r="F17" i="2" s="1"/>
  <c r="F70" i="2" a="1"/>
  <c r="F70" i="2" s="1"/>
  <c r="F60" i="2" a="1"/>
  <c r="F60" i="2" s="1"/>
  <c r="F43" i="2" a="1"/>
  <c r="F43" i="2" s="1"/>
  <c r="F38" i="2" a="1"/>
  <c r="F38" i="2" s="1"/>
  <c r="F57" i="2" a="1"/>
  <c r="F57" i="2" s="1"/>
  <c r="F23" i="2" a="1"/>
  <c r="F23" i="2" s="1"/>
  <c r="F45" i="2" a="1"/>
  <c r="F45" i="2" s="1"/>
  <c r="F66" i="2" a="1"/>
  <c r="F66" i="2" s="1"/>
  <c r="F49" i="2" a="1"/>
  <c r="F49" i="2" s="1"/>
  <c r="F44" i="2" a="1"/>
  <c r="F44" i="2" s="1"/>
  <c r="F52" i="2" a="1"/>
  <c r="F52" i="2" s="1"/>
  <c r="F4" i="2" a="1"/>
  <c r="F4" i="2" s="1"/>
  <c r="F29" i="2" a="1"/>
  <c r="F29" i="2" s="1"/>
  <c r="F40" i="2" a="1"/>
  <c r="F40" i="2" s="1"/>
  <c r="F72" i="2" a="1"/>
  <c r="F72" i="2" s="1"/>
  <c r="F55" i="2" a="1"/>
  <c r="F55" i="2" s="1"/>
  <c r="F50" i="2" a="1"/>
  <c r="F50" i="2" s="1"/>
  <c r="F10" i="2" a="1"/>
  <c r="F10" i="2" s="1"/>
  <c r="F35" i="2" a="1"/>
  <c r="F35" i="2" s="1"/>
  <c r="F6" i="2" a="1"/>
  <c r="F6" i="2" s="1"/>
  <c r="F51" i="2" a="1"/>
  <c r="F51" i="2" s="1"/>
  <c r="F61" i="2" a="1"/>
  <c r="F61" i="2" s="1"/>
  <c r="F62" i="2" a="1"/>
  <c r="F62" i="2" s="1"/>
  <c r="F16" i="2" a="1"/>
  <c r="F16" i="2" s="1"/>
  <c r="F41" i="2" a="1"/>
  <c r="F41" i="2" s="1"/>
  <c r="F12" i="2" a="1"/>
  <c r="F12" i="2" s="1"/>
  <c r="F64" i="2" a="1"/>
  <c r="F64" i="2" s="1"/>
  <c r="F73" i="2" a="1"/>
  <c r="F73" i="2" s="1"/>
  <c r="F68" i="2" a="1"/>
  <c r="F68" i="2" s="1"/>
  <c r="F22" i="2" a="1"/>
  <c r="F22" i="2" s="1"/>
  <c r="F20" i="2" a="1"/>
  <c r="F20" i="2" s="1"/>
  <c r="F47" i="2" a="1"/>
  <c r="F47" i="2" s="1"/>
  <c r="F18" i="2" a="1"/>
  <c r="F18" i="2" s="1"/>
  <c r="F67" i="2" a="1"/>
  <c r="F67" i="2" s="1"/>
  <c r="F56" i="2" a="1"/>
  <c r="F56" i="2" s="1"/>
  <c r="F63" i="2" a="1"/>
  <c r="F63" i="2" s="1"/>
  <c r="F28" i="2" a="1"/>
  <c r="F28" i="2" s="1"/>
  <c r="F27" i="2" a="1"/>
  <c r="F27" i="2" s="1"/>
  <c r="F53" i="2" a="1"/>
  <c r="F53" i="2" s="1"/>
  <c r="F24" i="2" a="1"/>
  <c r="F24" i="2" s="1"/>
  <c r="F7" i="2" a="1"/>
  <c r="F7" i="2" s="1"/>
  <c r="F46" i="2" a="1"/>
  <c r="F46" i="2" s="1"/>
  <c r="F9" i="2" a="1"/>
  <c r="F9" i="2" s="1"/>
  <c r="F34" i="2" a="1"/>
  <c r="F34" i="2" s="1"/>
  <c r="F25" i="2" a="1"/>
  <c r="F25" i="2" s="1"/>
  <c r="F59" i="2" a="1"/>
  <c r="F59" i="2" s="1"/>
  <c r="F30" i="2" a="1"/>
  <c r="F30" i="2" s="1"/>
  <c r="F13" i="2" a="1"/>
  <c r="F13" i="2" s="1"/>
  <c r="F8" i="2" a="1"/>
  <c r="F8" i="2" s="1"/>
  <c r="F15" i="2" a="1"/>
  <c r="F15" i="2" s="1"/>
  <c r="F58" i="2" a="1"/>
  <c r="F58" i="2" s="1"/>
  <c r="F71" i="2" a="1"/>
  <c r="F71" i="2" s="1"/>
  <c r="F65" i="2" a="1"/>
  <c r="F65" i="2" s="1"/>
  <c r="F36" i="2" a="1"/>
  <c r="F36" i="2" s="1"/>
  <c r="F19" i="2" a="1"/>
  <c r="F19" i="2" s="1"/>
  <c r="F14" i="2" a="1"/>
  <c r="F14" i="2" s="1"/>
  <c r="F21" i="2" a="1"/>
  <c r="F21" i="2" s="1"/>
  <c r="J4" i="2" l="1" a="1"/>
  <c r="J4" i="2" s="1"/>
  <c r="G4" i="2" a="1"/>
  <c r="G4" i="2" s="1"/>
  <c r="I4" i="2" a="1"/>
  <c r="I4" i="2" s="1"/>
  <c r="H4" i="2" a="1"/>
  <c r="H4" i="2" s="1"/>
  <c r="E4" i="1" a="1"/>
  <c r="E4" i="1" s="1"/>
  <c r="I5" i="1" a="1"/>
  <c r="I5" i="1" s="1"/>
  <c r="N5" i="1" l="1" a="1"/>
  <c r="N5" i="1" s="1"/>
  <c r="F5" i="1" a="1"/>
  <c r="F5" i="1" s="1"/>
  <c r="K7" i="1" s="1"/>
  <c r="K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<sst xmlns="http://schemas.openxmlformats.org/spreadsheetml/2006/main" count="146" uniqueCount="134">
  <si>
    <t>Year</t>
  </si>
  <si>
    <t>PLAN #1</t>
  </si>
  <si>
    <t>PLAN #3</t>
  </si>
  <si>
    <t>PLAN #5</t>
  </si>
  <si>
    <t>MAX AGE</t>
  </si>
  <si>
    <t>MIN AGE</t>
  </si>
  <si>
    <t>START AGE</t>
  </si>
  <si>
    <t>FORMULATED</t>
  </si>
  <si>
    <t xml:space="preserve">PLAN #2 </t>
  </si>
  <si>
    <t>END AGE</t>
  </si>
  <si>
    <t>PAYMENT</t>
  </si>
  <si>
    <t xml:space="preserve">PLAN #4 </t>
  </si>
  <si>
    <t>PAYMENT 1</t>
  </si>
  <si>
    <t>PAYMENT 2</t>
  </si>
  <si>
    <t>POLICY PARAMETERS</t>
  </si>
  <si>
    <t>TOTAL PAYMENT</t>
  </si>
  <si>
    <t>TOTAL PAYMENT DURATION</t>
  </si>
  <si>
    <t>AGE OF LAST PAYMENT</t>
  </si>
  <si>
    <t>Expected Annuity Payment</t>
  </si>
  <si>
    <t xml:space="preserve">ANNUITY ILLUSTRATION TOOL </t>
  </si>
  <si>
    <t>PLAN #6</t>
  </si>
  <si>
    <t>PLAN #7</t>
  </si>
  <si>
    <t>INPUTS</t>
  </si>
  <si>
    <t>OUTPUTS</t>
  </si>
  <si>
    <t>AGE PAYMENT BEGINS</t>
  </si>
  <si>
    <t>POLICY DURATION</t>
  </si>
  <si>
    <t>AGE</t>
  </si>
  <si>
    <t>PLAN TYPE</t>
  </si>
  <si>
    <t>Plan Type</t>
  </si>
  <si>
    <t>Client Name</t>
  </si>
  <si>
    <t>Client # 1</t>
  </si>
  <si>
    <t>Client # 2</t>
  </si>
  <si>
    <t>Client # 3</t>
  </si>
  <si>
    <t>Client # 4</t>
  </si>
  <si>
    <t>Client # 5</t>
  </si>
  <si>
    <t>Client # 6</t>
  </si>
  <si>
    <t>Client # 7</t>
  </si>
  <si>
    <t>Client # 8</t>
  </si>
  <si>
    <t>Client # 9</t>
  </si>
  <si>
    <t>Client # 10</t>
  </si>
  <si>
    <t>Client # 11</t>
  </si>
  <si>
    <t>Client # 12</t>
  </si>
  <si>
    <t>Client # 13</t>
  </si>
  <si>
    <t>Client # 14</t>
  </si>
  <si>
    <t>Client # 15</t>
  </si>
  <si>
    <t>Client # 16</t>
  </si>
  <si>
    <t>Client # 17</t>
  </si>
  <si>
    <t>Client # 18</t>
  </si>
  <si>
    <t>Client # 19</t>
  </si>
  <si>
    <t>Client # 20</t>
  </si>
  <si>
    <t>Client # 21</t>
  </si>
  <si>
    <t>Client # 22</t>
  </si>
  <si>
    <t>Client # 23</t>
  </si>
  <si>
    <t>Client # 24</t>
  </si>
  <si>
    <t>Client # 25</t>
  </si>
  <si>
    <t>Client # 26</t>
  </si>
  <si>
    <t>Client # 27</t>
  </si>
  <si>
    <t>Client # 28</t>
  </si>
  <si>
    <t>Client # 29</t>
  </si>
  <si>
    <t>Client # 30</t>
  </si>
  <si>
    <t>Client # 31</t>
  </si>
  <si>
    <t>Client # 32</t>
  </si>
  <si>
    <t>Client # 33</t>
  </si>
  <si>
    <t>Client # 34</t>
  </si>
  <si>
    <t>Client # 35</t>
  </si>
  <si>
    <t>Client # 36</t>
  </si>
  <si>
    <t>Client # 37</t>
  </si>
  <si>
    <t>Client # 38</t>
  </si>
  <si>
    <t>Client # 39</t>
  </si>
  <si>
    <t>Client # 40</t>
  </si>
  <si>
    <t>Client # 41</t>
  </si>
  <si>
    <t>Client # 42</t>
  </si>
  <si>
    <t>Client # 43</t>
  </si>
  <si>
    <t>Client # 44</t>
  </si>
  <si>
    <t>Client # 45</t>
  </si>
  <si>
    <t>Client # 46</t>
  </si>
  <si>
    <t>Client # 47</t>
  </si>
  <si>
    <t>Client # 48</t>
  </si>
  <si>
    <t>Client # 49</t>
  </si>
  <si>
    <t>Client # 50</t>
  </si>
  <si>
    <t>Client # 51</t>
  </si>
  <si>
    <t>Client # 52</t>
  </si>
  <si>
    <t>Client # 53</t>
  </si>
  <si>
    <t>Client # 54</t>
  </si>
  <si>
    <t>Client # 55</t>
  </si>
  <si>
    <t>Client # 56</t>
  </si>
  <si>
    <t>Client # 57</t>
  </si>
  <si>
    <t>Client # 58</t>
  </si>
  <si>
    <t>Client # 59</t>
  </si>
  <si>
    <t>Client # 60</t>
  </si>
  <si>
    <t>Client # 61</t>
  </si>
  <si>
    <t>Client # 62</t>
  </si>
  <si>
    <t>Client # 63</t>
  </si>
  <si>
    <t>Client # 64</t>
  </si>
  <si>
    <t>Client # 65</t>
  </si>
  <si>
    <t>Client # 66</t>
  </si>
  <si>
    <t>Client # 67</t>
  </si>
  <si>
    <t>Client # 68</t>
  </si>
  <si>
    <t>Client # 69</t>
  </si>
  <si>
    <t>Client # 70</t>
  </si>
  <si>
    <t>Client # 71</t>
  </si>
  <si>
    <t>Client # 72</t>
  </si>
  <si>
    <t>Client # 73</t>
  </si>
  <si>
    <t>Client # 74</t>
  </si>
  <si>
    <t>Client # 75</t>
  </si>
  <si>
    <t>Client # 76</t>
  </si>
  <si>
    <t>Client # 77</t>
  </si>
  <si>
    <t>Client # 78</t>
  </si>
  <si>
    <t>Client # 79</t>
  </si>
  <si>
    <t>Client # 80</t>
  </si>
  <si>
    <t>Client # 81</t>
  </si>
  <si>
    <t>Client # 82</t>
  </si>
  <si>
    <t>Client # 83</t>
  </si>
  <si>
    <t>Client # 84</t>
  </si>
  <si>
    <t>Client # 85</t>
  </si>
  <si>
    <t>Client # 86</t>
  </si>
  <si>
    <t>Client # 87</t>
  </si>
  <si>
    <t>Client # 88</t>
  </si>
  <si>
    <t>Client # 89</t>
  </si>
  <si>
    <t>Client # 90</t>
  </si>
  <si>
    <t>Client # 91</t>
  </si>
  <si>
    <t>Client # 92</t>
  </si>
  <si>
    <t>Client # 93</t>
  </si>
  <si>
    <t>Client # 94</t>
  </si>
  <si>
    <t>Client # 95</t>
  </si>
  <si>
    <t>Client # 96</t>
  </si>
  <si>
    <t>Client # 97</t>
  </si>
  <si>
    <t>Client # 98</t>
  </si>
  <si>
    <t>Client # 99</t>
  </si>
  <si>
    <t>Client # 100</t>
  </si>
  <si>
    <t>Expected Payment</t>
  </si>
  <si>
    <t>TOTAL EXPECTED PAYMENT</t>
  </si>
  <si>
    <t>INITIAL PAYMENT</t>
  </si>
  <si>
    <t>INCREAMENT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</si>
</sst>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1009]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1" xfId="0" applyNumberFormat="1" applyBorder="1"/>
    <xf numFmtId="164" fontId="0" fillId="0" borderId="1" xfId="0" applyNumberFormat="1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164" fontId="6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1</xdr:row>
          <xdr:rowOff>9525</xdr:rowOff>
        </xdr:from>
        <xdr:to>
          <xdr:col>14</xdr:col>
          <xdr:colOff>257175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Expected Payment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4</xdr:row>
          <xdr:rowOff>171450</xdr:rowOff>
        </xdr:from>
        <xdr:to>
          <xdr:col>14</xdr:col>
          <xdr:colOff>257175</xdr:colOff>
          <xdr:row>6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9525</xdr:rowOff>
        </xdr:from>
        <xdr:to>
          <xdr:col>9</xdr:col>
          <xdr:colOff>19050</xdr:colOff>
          <xdr:row>3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CBCE0-CD76-445C-9C02-6E3E4F47AAF8}">
  <sheetPr codeName="Sheet1"/>
  <dimension ref="C2:N75"/>
  <sheetViews>
    <sheetView showGridLines="0" topLeftCell="B1" zoomScale="85" zoomScaleNormal="85" workbookViewId="0">
      <selection activeCell="C16" sqref="C16"/>
    </sheetView>
  </sheetViews>
  <sheetFormatPr defaultRowHeight="15" x14ac:dyDescent="0.25"/>
  <cols>
    <col min="3" max="3" width="30.5703125" bestFit="1" customWidth="1"/>
    <col min="4" max="4" width="9.7109375" bestFit="1" customWidth="1"/>
    <col min="5" max="5" width="5" bestFit="1" customWidth="1"/>
    <col min="6" max="6" width="25.28515625" bestFit="1" customWidth="1"/>
    <col min="8" max="8" width="5" bestFit="1" customWidth="1"/>
    <col min="9" max="9" width="25.28515625" bestFit="1" customWidth="1"/>
    <col min="11" max="11" width="26" bestFit="1" customWidth="1"/>
    <col min="13" max="13" width="0" hidden="1" customWidth="1"/>
    <col min="14" max="14" width="25.28515625" hidden="1" customWidth="1"/>
  </cols>
  <sheetData>
    <row r="2" spans="3:14" ht="32.25" x14ac:dyDescent="0.5">
      <c r="E2" s="17" t="s">
        <v>19</v>
      </c>
    </row>
    <row r="4" spans="3:14" ht="26.25" x14ac:dyDescent="0.4">
      <c r="C4" s="18" t="s">
        <v>22</v>
      </c>
      <c r="D4" s="7"/>
      <c r="E4" s="19" t="str" cm="1">
        <f t="array" ref="E4:E40">Years1</f>
        <v>Year</v>
      </c>
      <c r="F4" s="20" t="s">
        <v>18</v>
      </c>
      <c r="G4" s="21"/>
      <c r="H4" s="19" t="s">
        <v>0</v>
      </c>
      <c r="I4" s="20" t="s">
        <v>18</v>
      </c>
      <c r="K4" s="18" t="s">
        <v>23</v>
      </c>
      <c r="M4" s="25" t="s">
        <v>0</v>
      </c>
      <c r="N4" s="25" t="s">
        <v>18</v>
      </c>
    </row>
    <row r="5" spans="3:14" x14ac:dyDescent="0.25">
      <c r="D5" s="7"/>
      <c r="E5" s="12">
        <v>40</v>
      </c>
      <c r="F5" s="14" t="e" cm="1">
        <f t="array" ref="F5">_xlfn.XLOOKUP($C$7,Plan_Type,Before75)</f>
        <v>#N/A</v>
      </c>
      <c r="H5" s="12" cm="1">
        <f t="array" ref="H5:H39">Years2</f>
        <v>76</v>
      </c>
      <c r="I5" s="9" t="e" cm="1">
        <f t="array" ref="I5">_xlfn.XLOOKUP($C$7,Plan_Type,After75)</f>
        <v>#N/A</v>
      </c>
      <c r="M5" s="13" cm="1">
        <f t="array" ref="M5:M75">_xlfn.SEQUENCE(71,1,40,1)</f>
        <v>40</v>
      </c>
      <c r="N5" s="16" t="e" cm="1">
        <f t="array" ref="N5">_xlfn.XLOOKUP(C7,Plan_Type,FullTable)</f>
        <v>#N/A</v>
      </c>
    </row>
    <row r="6" spans="3:14" x14ac:dyDescent="0.25">
      <c r="C6" s="23" t="s">
        <v>27</v>
      </c>
      <c r="D6" s="7"/>
      <c r="E6" s="12">
        <v>41</v>
      </c>
      <c r="F6" s="14"/>
      <c r="H6" s="12">
        <v>77</v>
      </c>
      <c r="I6" s="9"/>
      <c r="K6" s="22" t="s">
        <v>131</v>
      </c>
      <c r="M6" s="13">
        <v>41</v>
      </c>
      <c r="N6" s="16"/>
    </row>
    <row r="7" spans="3:14" x14ac:dyDescent="0.25">
      <c r="C7" s="13"/>
      <c r="E7" s="12">
        <v>42</v>
      </c>
      <c r="F7" s="14"/>
      <c r="H7" s="12">
        <v>78</v>
      </c>
      <c r="I7" s="9"/>
      <c r="K7" s="16" t="e">
        <f>SUM(F5:F40,I5:I39)</f>
        <v>#N/A</v>
      </c>
      <c r="M7" s="13">
        <v>42</v>
      </c>
      <c r="N7" s="16"/>
    </row>
    <row r="8" spans="3:14" x14ac:dyDescent="0.25">
      <c r="E8" s="12">
        <v>43</v>
      </c>
      <c r="F8" s="14"/>
      <c r="H8" s="12">
        <v>79</v>
      </c>
      <c r="I8" s="9"/>
      <c r="M8" s="13">
        <v>43</v>
      </c>
      <c r="N8" s="16"/>
    </row>
    <row r="9" spans="3:14" x14ac:dyDescent="0.25">
      <c r="C9" s="23" t="s">
        <v>26</v>
      </c>
      <c r="E9" s="12">
        <v>44</v>
      </c>
      <c r="F9" s="14"/>
      <c r="H9" s="12">
        <v>80</v>
      </c>
      <c r="I9" s="9"/>
      <c r="M9" s="13">
        <v>44</v>
      </c>
      <c r="N9" s="16"/>
    </row>
    <row r="10" spans="3:14" x14ac:dyDescent="0.25">
      <c r="C10" s="13"/>
      <c r="E10" s="12">
        <v>45</v>
      </c>
      <c r="F10" s="14"/>
      <c r="H10" s="12">
        <v>81</v>
      </c>
      <c r="I10" s="9"/>
      <c r="K10" s="22" t="s">
        <v>16</v>
      </c>
      <c r="M10" s="13">
        <v>45</v>
      </c>
      <c r="N10" s="16"/>
    </row>
    <row r="11" spans="3:14" x14ac:dyDescent="0.25">
      <c r="E11" s="12">
        <v>46</v>
      </c>
      <c r="F11" s="14"/>
      <c r="H11" s="12">
        <v>82</v>
      </c>
      <c r="I11" s="9"/>
      <c r="K11" s="15" t="str">
        <f>CONCATENATE((COUNTIF(F5:F40,"&gt;0")+COUNTIF(_xlfn.ANCHORARRAY(I5),"&gt;0")), " Years")</f>
        <v>0 Years</v>
      </c>
      <c r="M11" s="13">
        <v>46</v>
      </c>
      <c r="N11" s="16"/>
    </row>
    <row r="12" spans="3:14" x14ac:dyDescent="0.25">
      <c r="C12" s="23" t="s">
        <v>24</v>
      </c>
      <c r="E12" s="12">
        <v>47</v>
      </c>
      <c r="F12" s="14"/>
      <c r="H12" s="12">
        <v>83</v>
      </c>
      <c r="I12" s="9"/>
      <c r="M12" s="13">
        <v>47</v>
      </c>
      <c r="N12" s="16"/>
    </row>
    <row r="13" spans="3:14" x14ac:dyDescent="0.25">
      <c r="C13" s="15"/>
      <c r="E13" s="12">
        <v>48</v>
      </c>
      <c r="F13" s="14"/>
      <c r="H13" s="12">
        <v>84</v>
      </c>
      <c r="I13" s="9"/>
      <c r="K13" s="22" t="s">
        <v>17</v>
      </c>
      <c r="M13" s="13">
        <v>48</v>
      </c>
      <c r="N13" s="16"/>
    </row>
    <row r="14" spans="3:14" x14ac:dyDescent="0.25">
      <c r="E14" s="12">
        <v>49</v>
      </c>
      <c r="F14" s="14"/>
      <c r="H14" s="12">
        <v>85</v>
      </c>
      <c r="I14" s="9"/>
      <c r="K14" s="13" t="e" cm="1">
        <f t="array" ref="K14">_xlfn.IFS(OR($C$7=1,$C$7=5,$C$7=6,$C$7=7),Formulas!$M$37,$C$7=2,Formulas!$M$13,$C$7=3,Formulas!$M$5,$C$7=4,Formulas!$M$22)</f>
        <v>#N/A</v>
      </c>
      <c r="M14" s="13">
        <v>49</v>
      </c>
      <c r="N14" s="16"/>
    </row>
    <row r="15" spans="3:14" x14ac:dyDescent="0.25">
      <c r="C15" s="23" t="s">
        <v>25</v>
      </c>
      <c r="E15" s="12">
        <v>50</v>
      </c>
      <c r="F15" s="14"/>
      <c r="H15" s="12">
        <v>86</v>
      </c>
      <c r="I15" s="9"/>
      <c r="M15" s="13">
        <v>50</v>
      </c>
      <c r="N15" s="16"/>
    </row>
    <row r="16" spans="3:14" x14ac:dyDescent="0.25">
      <c r="C16" s="15"/>
      <c r="E16" s="12">
        <v>51</v>
      </c>
      <c r="F16" s="14"/>
      <c r="H16" s="12">
        <v>87</v>
      </c>
      <c r="I16" s="9"/>
      <c r="M16" s="13">
        <v>51</v>
      </c>
      <c r="N16" s="16"/>
    </row>
    <row r="17" spans="5:14" x14ac:dyDescent="0.25">
      <c r="E17" s="12">
        <v>52</v>
      </c>
      <c r="F17" s="14"/>
      <c r="H17" s="12">
        <v>88</v>
      </c>
      <c r="I17" s="9"/>
      <c r="M17" s="13">
        <v>52</v>
      </c>
      <c r="N17" s="16"/>
    </row>
    <row r="18" spans="5:14" x14ac:dyDescent="0.25">
      <c r="E18" s="12">
        <v>53</v>
      </c>
      <c r="F18" s="14"/>
      <c r="H18" s="12">
        <v>89</v>
      </c>
      <c r="I18" s="9"/>
      <c r="M18" s="13">
        <v>53</v>
      </c>
      <c r="N18" s="16"/>
    </row>
    <row r="19" spans="5:14" x14ac:dyDescent="0.25">
      <c r="E19" s="12">
        <v>54</v>
      </c>
      <c r="F19" s="14"/>
      <c r="H19" s="12">
        <v>90</v>
      </c>
      <c r="I19" s="9"/>
      <c r="M19" s="13">
        <v>54</v>
      </c>
      <c r="N19" s="16"/>
    </row>
    <row r="20" spans="5:14" x14ac:dyDescent="0.25">
      <c r="E20" s="12">
        <v>55</v>
      </c>
      <c r="F20" s="14"/>
      <c r="H20" s="12">
        <v>91</v>
      </c>
      <c r="I20" s="9"/>
      <c r="M20" s="13">
        <v>55</v>
      </c>
      <c r="N20" s="16"/>
    </row>
    <row r="21" spans="5:14" x14ac:dyDescent="0.25">
      <c r="E21" s="12">
        <v>56</v>
      </c>
      <c r="F21" s="14"/>
      <c r="H21" s="12">
        <v>92</v>
      </c>
      <c r="I21" s="9"/>
      <c r="M21" s="13">
        <v>56</v>
      </c>
      <c r="N21" s="16"/>
    </row>
    <row r="22" spans="5:14" x14ac:dyDescent="0.25">
      <c r="E22" s="12">
        <v>57</v>
      </c>
      <c r="F22" s="14"/>
      <c r="H22" s="12">
        <v>93</v>
      </c>
      <c r="I22" s="9"/>
      <c r="M22" s="13">
        <v>57</v>
      </c>
      <c r="N22" s="16"/>
    </row>
    <row r="23" spans="5:14" x14ac:dyDescent="0.25">
      <c r="E23" s="12">
        <v>58</v>
      </c>
      <c r="F23" s="14"/>
      <c r="H23" s="12">
        <v>94</v>
      </c>
      <c r="I23" s="9"/>
      <c r="M23" s="13">
        <v>58</v>
      </c>
      <c r="N23" s="16"/>
    </row>
    <row r="24" spans="5:14" x14ac:dyDescent="0.25">
      <c r="E24" s="12">
        <v>59</v>
      </c>
      <c r="F24" s="14"/>
      <c r="H24" s="12">
        <v>95</v>
      </c>
      <c r="I24" s="9"/>
      <c r="M24" s="13">
        <v>59</v>
      </c>
      <c r="N24" s="16"/>
    </row>
    <row r="25" spans="5:14" x14ac:dyDescent="0.25">
      <c r="E25" s="12">
        <v>60</v>
      </c>
      <c r="F25" s="14"/>
      <c r="H25" s="12">
        <v>96</v>
      </c>
      <c r="I25" s="9"/>
      <c r="M25" s="13">
        <v>60</v>
      </c>
      <c r="N25" s="16"/>
    </row>
    <row r="26" spans="5:14" x14ac:dyDescent="0.25">
      <c r="E26" s="12">
        <v>61</v>
      </c>
      <c r="F26" s="14"/>
      <c r="H26" s="12">
        <v>97</v>
      </c>
      <c r="I26" s="9"/>
      <c r="M26" s="13">
        <v>61</v>
      </c>
      <c r="N26" s="16"/>
    </row>
    <row r="27" spans="5:14" x14ac:dyDescent="0.25">
      <c r="E27" s="12">
        <v>62</v>
      </c>
      <c r="F27" s="14"/>
      <c r="H27" s="12">
        <v>98</v>
      </c>
      <c r="I27" s="9"/>
      <c r="M27" s="13">
        <v>62</v>
      </c>
      <c r="N27" s="16"/>
    </row>
    <row r="28" spans="5:14" x14ac:dyDescent="0.25">
      <c r="E28" s="12">
        <v>63</v>
      </c>
      <c r="F28" s="14"/>
      <c r="H28" s="12">
        <v>99</v>
      </c>
      <c r="I28" s="9"/>
      <c r="M28" s="13">
        <v>63</v>
      </c>
      <c r="N28" s="16"/>
    </row>
    <row r="29" spans="5:14" x14ac:dyDescent="0.25">
      <c r="E29" s="12">
        <v>64</v>
      </c>
      <c r="F29" s="14"/>
      <c r="H29" s="12">
        <v>100</v>
      </c>
      <c r="I29" s="9"/>
      <c r="M29" s="13">
        <v>64</v>
      </c>
      <c r="N29" s="16"/>
    </row>
    <row r="30" spans="5:14" x14ac:dyDescent="0.25">
      <c r="E30" s="12">
        <v>65</v>
      </c>
      <c r="F30" s="14"/>
      <c r="H30" s="12">
        <v>101</v>
      </c>
      <c r="I30" s="9"/>
      <c r="M30" s="13">
        <v>65</v>
      </c>
      <c r="N30" s="16"/>
    </row>
    <row r="31" spans="5:14" x14ac:dyDescent="0.25">
      <c r="E31" s="12">
        <v>66</v>
      </c>
      <c r="F31" s="14"/>
      <c r="H31" s="12">
        <v>102</v>
      </c>
      <c r="I31" s="9"/>
      <c r="M31" s="13">
        <v>66</v>
      </c>
      <c r="N31" s="16"/>
    </row>
    <row r="32" spans="5:14" x14ac:dyDescent="0.25">
      <c r="E32" s="12">
        <v>67</v>
      </c>
      <c r="F32" s="14"/>
      <c r="H32" s="12">
        <v>103</v>
      </c>
      <c r="I32" s="9"/>
      <c r="M32" s="13">
        <v>67</v>
      </c>
      <c r="N32" s="16"/>
    </row>
    <row r="33" spans="5:14" x14ac:dyDescent="0.25">
      <c r="E33" s="12">
        <v>68</v>
      </c>
      <c r="F33" s="14"/>
      <c r="H33" s="12">
        <v>104</v>
      </c>
      <c r="I33" s="9"/>
      <c r="M33" s="13">
        <v>68</v>
      </c>
      <c r="N33" s="16"/>
    </row>
    <row r="34" spans="5:14" x14ac:dyDescent="0.25">
      <c r="E34" s="12">
        <v>69</v>
      </c>
      <c r="F34" s="14"/>
      <c r="H34" s="12">
        <v>105</v>
      </c>
      <c r="I34" s="9"/>
      <c r="M34" s="13">
        <v>69</v>
      </c>
      <c r="N34" s="16"/>
    </row>
    <row r="35" spans="5:14" x14ac:dyDescent="0.25">
      <c r="E35" s="12">
        <v>70</v>
      </c>
      <c r="F35" s="14"/>
      <c r="H35" s="12">
        <v>106</v>
      </c>
      <c r="I35" s="9"/>
      <c r="M35" s="13">
        <v>70</v>
      </c>
      <c r="N35" s="16"/>
    </row>
    <row r="36" spans="5:14" x14ac:dyDescent="0.25">
      <c r="E36" s="12">
        <v>71</v>
      </c>
      <c r="F36" s="14"/>
      <c r="H36" s="12">
        <v>107</v>
      </c>
      <c r="I36" s="9"/>
      <c r="M36" s="13">
        <v>71</v>
      </c>
      <c r="N36" s="16"/>
    </row>
    <row r="37" spans="5:14" x14ac:dyDescent="0.25">
      <c r="E37" s="12">
        <v>72</v>
      </c>
      <c r="F37" s="14"/>
      <c r="H37" s="12">
        <v>108</v>
      </c>
      <c r="I37" s="9"/>
      <c r="M37" s="13">
        <v>72</v>
      </c>
      <c r="N37" s="16"/>
    </row>
    <row r="38" spans="5:14" x14ac:dyDescent="0.25">
      <c r="E38" s="12">
        <v>73</v>
      </c>
      <c r="F38" s="14"/>
      <c r="H38" s="12">
        <v>109</v>
      </c>
      <c r="I38" s="9"/>
      <c r="M38" s="13">
        <v>73</v>
      </c>
      <c r="N38" s="16"/>
    </row>
    <row r="39" spans="5:14" x14ac:dyDescent="0.25">
      <c r="E39" s="12">
        <v>74</v>
      </c>
      <c r="F39" s="14"/>
      <c r="H39" s="12">
        <v>110</v>
      </c>
      <c r="I39" s="9"/>
      <c r="M39" s="13">
        <v>74</v>
      </c>
      <c r="N39" s="16"/>
    </row>
    <row r="40" spans="5:14" x14ac:dyDescent="0.25">
      <c r="E40" s="12">
        <v>75</v>
      </c>
      <c r="F40" s="14"/>
      <c r="M40" s="13">
        <v>75</v>
      </c>
      <c r="N40" s="16"/>
    </row>
    <row r="41" spans="5:14" x14ac:dyDescent="0.25">
      <c r="M41" s="13">
        <v>76</v>
      </c>
      <c r="N41" s="16"/>
    </row>
    <row r="42" spans="5:14" x14ac:dyDescent="0.25">
      <c r="M42" s="13">
        <v>77</v>
      </c>
      <c r="N42" s="16"/>
    </row>
    <row r="43" spans="5:14" x14ac:dyDescent="0.25">
      <c r="M43" s="13">
        <v>78</v>
      </c>
      <c r="N43" s="16"/>
    </row>
    <row r="44" spans="5:14" x14ac:dyDescent="0.25">
      <c r="M44" s="13">
        <v>79</v>
      </c>
      <c r="N44" s="16"/>
    </row>
    <row r="45" spans="5:14" x14ac:dyDescent="0.25">
      <c r="M45" s="13">
        <v>80</v>
      </c>
      <c r="N45" s="16"/>
    </row>
    <row r="46" spans="5:14" x14ac:dyDescent="0.25">
      <c r="M46" s="13">
        <v>81</v>
      </c>
      <c r="N46" s="16"/>
    </row>
    <row r="47" spans="5:14" x14ac:dyDescent="0.25">
      <c r="M47" s="13">
        <v>82</v>
      </c>
      <c r="N47" s="16"/>
    </row>
    <row r="48" spans="5:14" x14ac:dyDescent="0.25">
      <c r="M48" s="13">
        <v>83</v>
      </c>
      <c r="N48" s="16"/>
    </row>
    <row r="49" spans="13:14" x14ac:dyDescent="0.25">
      <c r="M49" s="13">
        <v>84</v>
      </c>
      <c r="N49" s="16"/>
    </row>
    <row r="50" spans="13:14" x14ac:dyDescent="0.25">
      <c r="M50" s="13">
        <v>85</v>
      </c>
      <c r="N50" s="16"/>
    </row>
    <row r="51" spans="13:14" x14ac:dyDescent="0.25">
      <c r="M51" s="13">
        <v>86</v>
      </c>
      <c r="N51" s="16"/>
    </row>
    <row r="52" spans="13:14" x14ac:dyDescent="0.25">
      <c r="M52" s="13">
        <v>87</v>
      </c>
      <c r="N52" s="16"/>
    </row>
    <row r="53" spans="13:14" x14ac:dyDescent="0.25">
      <c r="M53" s="13">
        <v>88</v>
      </c>
      <c r="N53" s="16"/>
    </row>
    <row r="54" spans="13:14" x14ac:dyDescent="0.25">
      <c r="M54" s="13">
        <v>89</v>
      </c>
      <c r="N54" s="16"/>
    </row>
    <row r="55" spans="13:14" x14ac:dyDescent="0.25">
      <c r="M55" s="13">
        <v>90</v>
      </c>
      <c r="N55" s="16"/>
    </row>
    <row r="56" spans="13:14" x14ac:dyDescent="0.25">
      <c r="M56" s="13">
        <v>91</v>
      </c>
      <c r="N56" s="16"/>
    </row>
    <row r="57" spans="13:14" x14ac:dyDescent="0.25">
      <c r="M57" s="13">
        <v>92</v>
      </c>
      <c r="N57" s="16"/>
    </row>
    <row r="58" spans="13:14" x14ac:dyDescent="0.25">
      <c r="M58" s="13">
        <v>93</v>
      </c>
      <c r="N58" s="16"/>
    </row>
    <row r="59" spans="13:14" x14ac:dyDescent="0.25">
      <c r="M59" s="13">
        <v>94</v>
      </c>
      <c r="N59" s="16"/>
    </row>
    <row r="60" spans="13:14" x14ac:dyDescent="0.25">
      <c r="M60" s="13">
        <v>95</v>
      </c>
      <c r="N60" s="16"/>
    </row>
    <row r="61" spans="13:14" x14ac:dyDescent="0.25">
      <c r="M61" s="13">
        <v>96</v>
      </c>
      <c r="N61" s="16"/>
    </row>
    <row r="62" spans="13:14" x14ac:dyDescent="0.25">
      <c r="M62" s="13">
        <v>97</v>
      </c>
      <c r="N62" s="16"/>
    </row>
    <row r="63" spans="13:14" x14ac:dyDescent="0.25">
      <c r="M63" s="13">
        <v>98</v>
      </c>
      <c r="N63" s="16"/>
    </row>
    <row r="64" spans="13:14" x14ac:dyDescent="0.25">
      <c r="M64" s="13">
        <v>99</v>
      </c>
      <c r="N64" s="16"/>
    </row>
    <row r="65" spans="13:14" x14ac:dyDescent="0.25">
      <c r="M65" s="13">
        <v>100</v>
      </c>
      <c r="N65" s="16"/>
    </row>
    <row r="66" spans="13:14" x14ac:dyDescent="0.25">
      <c r="M66" s="13">
        <v>101</v>
      </c>
      <c r="N66" s="16"/>
    </row>
    <row r="67" spans="13:14" x14ac:dyDescent="0.25">
      <c r="M67" s="13">
        <v>102</v>
      </c>
      <c r="N67" s="16"/>
    </row>
    <row r="68" spans="13:14" x14ac:dyDescent="0.25">
      <c r="M68" s="13">
        <v>103</v>
      </c>
      <c r="N68" s="16"/>
    </row>
    <row r="69" spans="13:14" x14ac:dyDescent="0.25">
      <c r="M69" s="13">
        <v>104</v>
      </c>
      <c r="N69" s="16"/>
    </row>
    <row r="70" spans="13:14" x14ac:dyDescent="0.25">
      <c r="M70" s="13">
        <v>105</v>
      </c>
      <c r="N70" s="16"/>
    </row>
    <row r="71" spans="13:14" x14ac:dyDescent="0.25">
      <c r="M71" s="13">
        <v>106</v>
      </c>
      <c r="N71" s="16"/>
    </row>
    <row r="72" spans="13:14" x14ac:dyDescent="0.25">
      <c r="M72" s="13">
        <v>107</v>
      </c>
      <c r="N72" s="16"/>
    </row>
    <row r="73" spans="13:14" x14ac:dyDescent="0.25">
      <c r="M73" s="13">
        <v>108</v>
      </c>
      <c r="N73" s="16"/>
    </row>
    <row r="74" spans="13:14" x14ac:dyDescent="0.25">
      <c r="M74" s="13">
        <v>109</v>
      </c>
      <c r="N74" s="16"/>
    </row>
    <row r="75" spans="13:14" x14ac:dyDescent="0.25">
      <c r="M75" s="13">
        <v>110</v>
      </c>
      <c r="N75" s="16"/>
    </row>
  </sheetData>
  <dataValidations count="1">
    <dataValidation type="list" allowBlank="1" showInputMessage="1" showErrorMessage="1" sqref="C10" xr:uid="{9E25B917-CAC9-4319-9697-586D9E2F4089}">
      <formula1>Year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12AAD7D-7BC6-44E0-AA8E-92E7E5F19C46}">
          <x14:formula1>
            <xm:f>Formulas!$D$3:$J$3</xm:f>
          </x14:formula1>
          <xm:sqref>C7</xm:sqref>
        </x14:dataValidation>
        <x14:dataValidation type="whole" allowBlank="1" showInputMessage="1" showErrorMessage="1" errorTitle="Invalid Date" xr:uid="{02C1AE0B-0D5E-46D4-897A-A9003502EB35}">
          <x14:formula1>
            <xm:f>1</xm:f>
          </x14:formula1>
          <x14:formula2>
            <xm:f>Formulas!$M$5-($C$10+(YEAR($C$13)-YEAR(TODAY())))</xm:f>
          </x14:formula2>
          <xm:sqref>C16</xm:sqref>
        </x14:dataValidation>
        <x14:dataValidation type="date" allowBlank="1" showInputMessage="1" showErrorMessage="1" xr:uid="{0EDC054A-BD06-448E-AD89-BB0F0E183282}">
          <x14:formula1>
            <xm:f>$C$10</xm:f>
          </x14:formula1>
          <x14:formula2>
            <xm:f>Formulas!$M$5</xm:f>
          </x14:formula2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2F2E7-C688-4779-92D1-67286B1243EC}">
  <sheetPr codeName="Sheet4"/>
  <dimension ref="A1:B101"/>
  <sheetViews>
    <sheetView tabSelected="1" workbookViewId="0">
      <selection activeCell="M18" sqref="M18:M19"/>
    </sheetView>
  </sheetViews>
  <sheetFormatPr defaultRowHeight="15" x14ac:dyDescent="0.25"/>
  <cols>
    <col min="1" max="1" width="14.28515625" style="1" bestFit="1" customWidth="1"/>
    <col min="2" max="2" width="22.28515625" style="16" bestFit="1" customWidth="1"/>
  </cols>
  <sheetData>
    <row r="1" spans="1:2" x14ac:dyDescent="0.25">
      <c r="A1" s="26" t="s">
        <v>29</v>
      </c>
      <c r="B1" s="28" t="s">
        <v>130</v>
      </c>
    </row>
    <row r="2" spans="1:2" x14ac:dyDescent="0.25">
      <c r="A2" s="27" t="s">
        <v>30</v>
      </c>
      <c r="B2" s="14"/>
    </row>
    <row r="3" spans="1:2" x14ac:dyDescent="0.25">
      <c r="A3" s="27" t="s">
        <v>31</v>
      </c>
      <c r="B3" s="14"/>
    </row>
    <row r="4" spans="1:2" x14ac:dyDescent="0.25">
      <c r="A4" s="27" t="s">
        <v>32</v>
      </c>
      <c r="B4" s="14"/>
    </row>
    <row r="5" spans="1:2" x14ac:dyDescent="0.25">
      <c r="A5" s="27" t="s">
        <v>33</v>
      </c>
      <c r="B5" s="14"/>
    </row>
    <row r="6" spans="1:2" x14ac:dyDescent="0.25">
      <c r="A6" s="27" t="s">
        <v>34</v>
      </c>
      <c r="B6" s="14"/>
    </row>
    <row r="7" spans="1:2" x14ac:dyDescent="0.25">
      <c r="A7" s="27" t="s">
        <v>35</v>
      </c>
      <c r="B7" s="14"/>
    </row>
    <row r="8" spans="1:2" x14ac:dyDescent="0.25">
      <c r="A8" s="27" t="s">
        <v>36</v>
      </c>
      <c r="B8" s="14"/>
    </row>
    <row r="9" spans="1:2" x14ac:dyDescent="0.25">
      <c r="A9" s="27" t="s">
        <v>37</v>
      </c>
      <c r="B9" s="14"/>
    </row>
    <row r="10" spans="1:2" x14ac:dyDescent="0.25">
      <c r="A10" s="27" t="s">
        <v>38</v>
      </c>
      <c r="B10" s="14"/>
    </row>
    <row r="11" spans="1:2" x14ac:dyDescent="0.25">
      <c r="A11" s="27" t="s">
        <v>39</v>
      </c>
      <c r="B11" s="14"/>
    </row>
    <row r="12" spans="1:2" x14ac:dyDescent="0.25">
      <c r="A12" s="27" t="s">
        <v>40</v>
      </c>
      <c r="B12" s="14"/>
    </row>
    <row r="13" spans="1:2" x14ac:dyDescent="0.25">
      <c r="A13" s="27" t="s">
        <v>41</v>
      </c>
      <c r="B13" s="14"/>
    </row>
    <row r="14" spans="1:2" x14ac:dyDescent="0.25">
      <c r="A14" s="27" t="s">
        <v>42</v>
      </c>
      <c r="B14" s="14"/>
    </row>
    <row r="15" spans="1:2" x14ac:dyDescent="0.25">
      <c r="A15" s="27" t="s">
        <v>43</v>
      </c>
      <c r="B15" s="14"/>
    </row>
    <row r="16" spans="1:2" x14ac:dyDescent="0.25">
      <c r="A16" s="27" t="s">
        <v>44</v>
      </c>
      <c r="B16" s="14"/>
    </row>
    <row r="17" spans="1:2" x14ac:dyDescent="0.25">
      <c r="A17" s="27" t="s">
        <v>45</v>
      </c>
      <c r="B17" s="14"/>
    </row>
    <row r="18" spans="1:2" x14ac:dyDescent="0.25">
      <c r="A18" s="27" t="s">
        <v>46</v>
      </c>
      <c r="B18" s="14"/>
    </row>
    <row r="19" spans="1:2" x14ac:dyDescent="0.25">
      <c r="A19" s="27" t="s">
        <v>47</v>
      </c>
      <c r="B19" s="14"/>
    </row>
    <row r="20" spans="1:2" x14ac:dyDescent="0.25">
      <c r="A20" s="27" t="s">
        <v>48</v>
      </c>
      <c r="B20" s="14"/>
    </row>
    <row r="21" spans="1:2" x14ac:dyDescent="0.25">
      <c r="A21" s="27" t="s">
        <v>49</v>
      </c>
      <c r="B21" s="14"/>
    </row>
    <row r="22" spans="1:2" x14ac:dyDescent="0.25">
      <c r="A22" s="27" t="s">
        <v>50</v>
      </c>
      <c r="B22" s="14"/>
    </row>
    <row r="23" spans="1:2" x14ac:dyDescent="0.25">
      <c r="A23" s="27" t="s">
        <v>51</v>
      </c>
      <c r="B23" s="14"/>
    </row>
    <row r="24" spans="1:2" x14ac:dyDescent="0.25">
      <c r="A24" s="27" t="s">
        <v>52</v>
      </c>
      <c r="B24" s="14"/>
    </row>
    <row r="25" spans="1:2" x14ac:dyDescent="0.25">
      <c r="A25" s="27" t="s">
        <v>53</v>
      </c>
      <c r="B25" s="14"/>
    </row>
    <row r="26" spans="1:2" x14ac:dyDescent="0.25">
      <c r="A26" s="27" t="s">
        <v>54</v>
      </c>
      <c r="B26" s="14"/>
    </row>
    <row r="27" spans="1:2" x14ac:dyDescent="0.25">
      <c r="A27" s="27" t="s">
        <v>55</v>
      </c>
      <c r="B27" s="14"/>
    </row>
    <row r="28" spans="1:2" x14ac:dyDescent="0.25">
      <c r="A28" s="27" t="s">
        <v>56</v>
      </c>
      <c r="B28" s="14"/>
    </row>
    <row r="29" spans="1:2" x14ac:dyDescent="0.25">
      <c r="A29" s="27" t="s">
        <v>57</v>
      </c>
      <c r="B29" s="14"/>
    </row>
    <row r="30" spans="1:2" x14ac:dyDescent="0.25">
      <c r="A30" s="27" t="s">
        <v>58</v>
      </c>
      <c r="B30" s="14"/>
    </row>
    <row r="31" spans="1:2" x14ac:dyDescent="0.25">
      <c r="A31" s="27" t="s">
        <v>59</v>
      </c>
      <c r="B31" s="14"/>
    </row>
    <row r="32" spans="1:2" x14ac:dyDescent="0.25">
      <c r="A32" s="27" t="s">
        <v>60</v>
      </c>
      <c r="B32" s="14"/>
    </row>
    <row r="33" spans="1:2" x14ac:dyDescent="0.25">
      <c r="A33" s="27" t="s">
        <v>61</v>
      </c>
      <c r="B33" s="14"/>
    </row>
    <row r="34" spans="1:2" x14ac:dyDescent="0.25">
      <c r="A34" s="27" t="s">
        <v>62</v>
      </c>
      <c r="B34" s="14"/>
    </row>
    <row r="35" spans="1:2" x14ac:dyDescent="0.25">
      <c r="A35" s="27" t="s">
        <v>63</v>
      </c>
      <c r="B35" s="14"/>
    </row>
    <row r="36" spans="1:2" x14ac:dyDescent="0.25">
      <c r="A36" s="27" t="s">
        <v>64</v>
      </c>
      <c r="B36" s="14"/>
    </row>
    <row r="37" spans="1:2" x14ac:dyDescent="0.25">
      <c r="A37" s="27" t="s">
        <v>65</v>
      </c>
      <c r="B37" s="14"/>
    </row>
    <row r="38" spans="1:2" x14ac:dyDescent="0.25">
      <c r="A38" s="27" t="s">
        <v>66</v>
      </c>
      <c r="B38" s="14"/>
    </row>
    <row r="39" spans="1:2" x14ac:dyDescent="0.25">
      <c r="A39" s="27" t="s">
        <v>67</v>
      </c>
      <c r="B39" s="14"/>
    </row>
    <row r="40" spans="1:2" x14ac:dyDescent="0.25">
      <c r="A40" s="27" t="s">
        <v>68</v>
      </c>
      <c r="B40" s="14"/>
    </row>
    <row r="41" spans="1:2" x14ac:dyDescent="0.25">
      <c r="A41" s="27" t="s">
        <v>69</v>
      </c>
      <c r="B41" s="14"/>
    </row>
    <row r="42" spans="1:2" x14ac:dyDescent="0.25">
      <c r="A42" s="27" t="s">
        <v>70</v>
      </c>
      <c r="B42" s="14"/>
    </row>
    <row r="43" spans="1:2" x14ac:dyDescent="0.25">
      <c r="A43" s="27" t="s">
        <v>71</v>
      </c>
      <c r="B43" s="14"/>
    </row>
    <row r="44" spans="1:2" x14ac:dyDescent="0.25">
      <c r="A44" s="27" t="s">
        <v>72</v>
      </c>
      <c r="B44" s="14"/>
    </row>
    <row r="45" spans="1:2" x14ac:dyDescent="0.25">
      <c r="A45" s="27" t="s">
        <v>73</v>
      </c>
      <c r="B45" s="14"/>
    </row>
    <row r="46" spans="1:2" x14ac:dyDescent="0.25">
      <c r="A46" s="27" t="s">
        <v>74</v>
      </c>
      <c r="B46" s="14"/>
    </row>
    <row r="47" spans="1:2" x14ac:dyDescent="0.25">
      <c r="A47" s="27" t="s">
        <v>75</v>
      </c>
      <c r="B47" s="14"/>
    </row>
    <row r="48" spans="1:2" x14ac:dyDescent="0.25">
      <c r="A48" s="27" t="s">
        <v>76</v>
      </c>
      <c r="B48" s="14"/>
    </row>
    <row r="49" spans="1:2" x14ac:dyDescent="0.25">
      <c r="A49" s="27" t="s">
        <v>77</v>
      </c>
      <c r="B49" s="14"/>
    </row>
    <row r="50" spans="1:2" x14ac:dyDescent="0.25">
      <c r="A50" s="27" t="s">
        <v>78</v>
      </c>
      <c r="B50" s="14"/>
    </row>
    <row r="51" spans="1:2" x14ac:dyDescent="0.25">
      <c r="A51" s="27" t="s">
        <v>79</v>
      </c>
      <c r="B51" s="14"/>
    </row>
    <row r="52" spans="1:2" x14ac:dyDescent="0.25">
      <c r="A52" s="27" t="s">
        <v>80</v>
      </c>
      <c r="B52" s="14"/>
    </row>
    <row r="53" spans="1:2" x14ac:dyDescent="0.25">
      <c r="A53" s="27" t="s">
        <v>81</v>
      </c>
      <c r="B53" s="14"/>
    </row>
    <row r="54" spans="1:2" x14ac:dyDescent="0.25">
      <c r="A54" s="27" t="s">
        <v>82</v>
      </c>
      <c r="B54" s="14"/>
    </row>
    <row r="55" spans="1:2" x14ac:dyDescent="0.25">
      <c r="A55" s="27" t="s">
        <v>83</v>
      </c>
      <c r="B55" s="14"/>
    </row>
    <row r="56" spans="1:2" x14ac:dyDescent="0.25">
      <c r="A56" s="27" t="s">
        <v>84</v>
      </c>
      <c r="B56" s="14"/>
    </row>
    <row r="57" spans="1:2" x14ac:dyDescent="0.25">
      <c r="A57" s="27" t="s">
        <v>85</v>
      </c>
      <c r="B57" s="14"/>
    </row>
    <row r="58" spans="1:2" x14ac:dyDescent="0.25">
      <c r="A58" s="27" t="s">
        <v>86</v>
      </c>
      <c r="B58" s="14"/>
    </row>
    <row r="59" spans="1:2" x14ac:dyDescent="0.25">
      <c r="A59" s="27" t="s">
        <v>87</v>
      </c>
      <c r="B59" s="14"/>
    </row>
    <row r="60" spans="1:2" x14ac:dyDescent="0.25">
      <c r="A60" s="27" t="s">
        <v>88</v>
      </c>
      <c r="B60" s="14"/>
    </row>
    <row r="61" spans="1:2" x14ac:dyDescent="0.25">
      <c r="A61" s="27" t="s">
        <v>89</v>
      </c>
      <c r="B61" s="14"/>
    </row>
    <row r="62" spans="1:2" x14ac:dyDescent="0.25">
      <c r="A62" s="27" t="s">
        <v>90</v>
      </c>
      <c r="B62" s="14"/>
    </row>
    <row r="63" spans="1:2" x14ac:dyDescent="0.25">
      <c r="A63" s="27" t="s">
        <v>91</v>
      </c>
      <c r="B63" s="14"/>
    </row>
    <row r="64" spans="1:2" x14ac:dyDescent="0.25">
      <c r="A64" s="27" t="s">
        <v>92</v>
      </c>
      <c r="B64" s="14"/>
    </row>
    <row r="65" spans="1:2" x14ac:dyDescent="0.25">
      <c r="A65" s="27" t="s">
        <v>93</v>
      </c>
      <c r="B65" s="14"/>
    </row>
    <row r="66" spans="1:2" x14ac:dyDescent="0.25">
      <c r="A66" s="27" t="s">
        <v>94</v>
      </c>
      <c r="B66" s="14"/>
    </row>
    <row r="67" spans="1:2" x14ac:dyDescent="0.25">
      <c r="A67" s="27" t="s">
        <v>95</v>
      </c>
      <c r="B67" s="14"/>
    </row>
    <row r="68" spans="1:2" x14ac:dyDescent="0.25">
      <c r="A68" s="27" t="s">
        <v>96</v>
      </c>
      <c r="B68" s="14"/>
    </row>
    <row r="69" spans="1:2" x14ac:dyDescent="0.25">
      <c r="A69" s="27" t="s">
        <v>97</v>
      </c>
      <c r="B69" s="14"/>
    </row>
    <row r="70" spans="1:2" x14ac:dyDescent="0.25">
      <c r="A70" s="27" t="s">
        <v>98</v>
      </c>
      <c r="B70" s="14"/>
    </row>
    <row r="71" spans="1:2" x14ac:dyDescent="0.25">
      <c r="A71" s="27" t="s">
        <v>99</v>
      </c>
      <c r="B71" s="14"/>
    </row>
    <row r="72" spans="1:2" x14ac:dyDescent="0.25">
      <c r="A72" s="27" t="s">
        <v>100</v>
      </c>
      <c r="B72" s="14"/>
    </row>
    <row r="73" spans="1:2" x14ac:dyDescent="0.25">
      <c r="A73" s="27" t="s">
        <v>101</v>
      </c>
      <c r="B73" s="14"/>
    </row>
    <row r="74" spans="1:2" x14ac:dyDescent="0.25">
      <c r="A74" s="27" t="s">
        <v>102</v>
      </c>
      <c r="B74" s="14"/>
    </row>
    <row r="75" spans="1:2" x14ac:dyDescent="0.25">
      <c r="A75" s="27" t="s">
        <v>103</v>
      </c>
      <c r="B75" s="14"/>
    </row>
    <row r="76" spans="1:2" x14ac:dyDescent="0.25">
      <c r="A76" s="27" t="s">
        <v>104</v>
      </c>
      <c r="B76" s="14"/>
    </row>
    <row r="77" spans="1:2" x14ac:dyDescent="0.25">
      <c r="A77" s="27" t="s">
        <v>105</v>
      </c>
      <c r="B77" s="14"/>
    </row>
    <row r="78" spans="1:2" x14ac:dyDescent="0.25">
      <c r="A78" s="27" t="s">
        <v>106</v>
      </c>
      <c r="B78" s="14"/>
    </row>
    <row r="79" spans="1:2" x14ac:dyDescent="0.25">
      <c r="A79" s="27" t="s">
        <v>107</v>
      </c>
      <c r="B79" s="14"/>
    </row>
    <row r="80" spans="1:2" x14ac:dyDescent="0.25">
      <c r="A80" s="27" t="s">
        <v>108</v>
      </c>
      <c r="B80" s="14"/>
    </row>
    <row r="81" spans="1:2" x14ac:dyDescent="0.25">
      <c r="A81" s="27" t="s">
        <v>109</v>
      </c>
      <c r="B81" s="14"/>
    </row>
    <row r="82" spans="1:2" x14ac:dyDescent="0.25">
      <c r="A82" s="27" t="s">
        <v>110</v>
      </c>
      <c r="B82" s="14"/>
    </row>
    <row r="83" spans="1:2" x14ac:dyDescent="0.25">
      <c r="A83" s="27" t="s">
        <v>111</v>
      </c>
      <c r="B83" s="14"/>
    </row>
    <row r="84" spans="1:2" x14ac:dyDescent="0.25">
      <c r="A84" s="27" t="s">
        <v>112</v>
      </c>
      <c r="B84" s="14"/>
    </row>
    <row r="85" spans="1:2" x14ac:dyDescent="0.25">
      <c r="A85" s="27" t="s">
        <v>113</v>
      </c>
      <c r="B85" s="14"/>
    </row>
    <row r="86" spans="1:2" x14ac:dyDescent="0.25">
      <c r="A86" s="27" t="s">
        <v>114</v>
      </c>
      <c r="B86" s="14"/>
    </row>
    <row r="87" spans="1:2" x14ac:dyDescent="0.25">
      <c r="A87" s="27" t="s">
        <v>115</v>
      </c>
      <c r="B87" s="14"/>
    </row>
    <row r="88" spans="1:2" x14ac:dyDescent="0.25">
      <c r="A88" s="27" t="s">
        <v>116</v>
      </c>
      <c r="B88" s="14"/>
    </row>
    <row r="89" spans="1:2" x14ac:dyDescent="0.25">
      <c r="A89" s="27" t="s">
        <v>117</v>
      </c>
      <c r="B89" s="14"/>
    </row>
    <row r="90" spans="1:2" x14ac:dyDescent="0.25">
      <c r="A90" s="27" t="s">
        <v>118</v>
      </c>
      <c r="B90" s="14"/>
    </row>
    <row r="91" spans="1:2" x14ac:dyDescent="0.25">
      <c r="A91" s="27" t="s">
        <v>119</v>
      </c>
      <c r="B91" s="14"/>
    </row>
    <row r="92" spans="1:2" x14ac:dyDescent="0.25">
      <c r="A92" s="27" t="s">
        <v>120</v>
      </c>
      <c r="B92" s="14"/>
    </row>
    <row r="93" spans="1:2" x14ac:dyDescent="0.25">
      <c r="A93" s="27" t="s">
        <v>121</v>
      </c>
      <c r="B93" s="14"/>
    </row>
    <row r="94" spans="1:2" x14ac:dyDescent="0.25">
      <c r="A94" s="27" t="s">
        <v>122</v>
      </c>
      <c r="B94" s="14"/>
    </row>
    <row r="95" spans="1:2" x14ac:dyDescent="0.25">
      <c r="A95" s="27" t="s">
        <v>123</v>
      </c>
      <c r="B95" s="14"/>
    </row>
    <row r="96" spans="1:2" x14ac:dyDescent="0.25">
      <c r="A96" s="27" t="s">
        <v>124</v>
      </c>
      <c r="B96" s="14"/>
    </row>
    <row r="97" spans="1:2" x14ac:dyDescent="0.25">
      <c r="A97" s="27" t="s">
        <v>125</v>
      </c>
      <c r="B97" s="14"/>
    </row>
    <row r="98" spans="1:2" x14ac:dyDescent="0.25">
      <c r="A98" s="27" t="s">
        <v>126</v>
      </c>
      <c r="B98" s="14"/>
    </row>
    <row r="99" spans="1:2" x14ac:dyDescent="0.25">
      <c r="A99" s="27" t="s">
        <v>127</v>
      </c>
      <c r="B99" s="14"/>
    </row>
    <row r="100" spans="1:2" x14ac:dyDescent="0.25">
      <c r="A100" s="27" t="s">
        <v>128</v>
      </c>
      <c r="B100" s="14"/>
    </row>
    <row r="101" spans="1:2" x14ac:dyDescent="0.25">
      <c r="A101" s="12" t="s">
        <v>129</v>
      </c>
      <c r="B101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hisWorkbook.Expected_Payment">
                <anchor moveWithCells="1" sizeWithCells="1">
                  <from>
                    <xdr:col>12</xdr:col>
                    <xdr:colOff>247650</xdr:colOff>
                    <xdr:row>1</xdr:row>
                    <xdr:rowOff>9525</xdr:rowOff>
                  </from>
                  <to>
                    <xdr:col>14</xdr:col>
                    <xdr:colOff>257175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ResetCalc">
                <anchor moveWithCells="1" sizeWithCells="1">
                  <from>
                    <xdr:col>12</xdr:col>
                    <xdr:colOff>257175</xdr:colOff>
                    <xdr:row>4</xdr:row>
                    <xdr:rowOff>171450</xdr:rowOff>
                  </from>
                  <to>
                    <xdr:col>14</xdr:col>
                    <xdr:colOff>257175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C44D-CA40-4C04-B4EA-D4917FE19723}">
  <sheetPr codeName="Sheet2"/>
  <dimension ref="A1"/>
  <sheetViews>
    <sheetView workbookViewId="0">
      <selection sqref="A1:E101"/>
    </sheetView>
  </sheetViews>
  <sheetFormatPr defaultRowHeight="15" x14ac:dyDescent="0.25"/>
  <cols>
    <col min="1" max="1" width="14.28515625" bestFit="1" customWidth="1"/>
    <col min="2" max="2" width="10.85546875" bestFit="1" customWidth="1"/>
    <col min="3" max="3" width="9" bestFit="1" customWidth="1"/>
    <col min="4" max="4" width="23.85546875" bestFit="1" customWidth="1"/>
    <col min="5" max="5" width="19.1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ThisWorkbook.Data_Import">
                <anchor moveWithCells="1" sizeWithCells="1">
                  <from>
                    <xdr:col>7</xdr:col>
                    <xdr:colOff>28575</xdr:colOff>
                    <xdr:row>1</xdr:row>
                    <xdr:rowOff>9525</xdr:rowOff>
                  </from>
                  <to>
                    <xdr:col>9</xdr:col>
                    <xdr:colOff>19050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F82A3-2042-40B5-883F-0C3B5824CD4D}">
  <sheetPr codeName="Sheet3"/>
  <dimension ref="C2:N74"/>
  <sheetViews>
    <sheetView showGridLines="0" zoomScaleNormal="100" workbookViewId="0">
      <selection activeCell="P12" sqref="P12"/>
    </sheetView>
  </sheetViews>
  <sheetFormatPr defaultRowHeight="15" x14ac:dyDescent="0.25"/>
  <cols>
    <col min="3" max="3" width="9.140625" style="5"/>
    <col min="12" max="12" width="19.85546875" bestFit="1" customWidth="1"/>
    <col min="13" max="13" width="8.5703125" bestFit="1" customWidth="1"/>
  </cols>
  <sheetData>
    <row r="2" spans="3:14" x14ac:dyDescent="0.25">
      <c r="D2" s="29" t="s">
        <v>28</v>
      </c>
      <c r="E2" s="29"/>
      <c r="F2" s="29"/>
      <c r="G2" s="29"/>
      <c r="H2" s="29"/>
      <c r="I2" s="29"/>
      <c r="J2" s="29"/>
    </row>
    <row r="3" spans="3:14" x14ac:dyDescent="0.25">
      <c r="C3" s="3" t="s">
        <v>0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J3" s="3">
        <v>7</v>
      </c>
      <c r="L3" s="11" t="s">
        <v>14</v>
      </c>
    </row>
    <row r="4" spans="3:14" x14ac:dyDescent="0.25">
      <c r="C4" s="4" cm="1">
        <f t="array" ref="C4:C74">_xlfn.SEQUENCE(M5-M6+1,,M6,1)</f>
        <v>40</v>
      </c>
      <c r="D4" s="16" t="str" cm="1">
        <f t="array" ref="D4">_xlfn.IFS(OR(C4&lt;$M$36,AND(C4&gt;$M$37,C4&lt;=$M$5)),"-",C4&lt;=$M$36+(Annuity_Calc!$C$16),$M$9)</f>
        <v>-</v>
      </c>
      <c r="E4" s="16" t="str" cm="1">
        <f t="array" ref="E4">_xlfn.IFS(OR(C4&lt;$M$12,AND(C4&gt;$M$13,C4&lt;=$M$5)),"-",C4&lt;=$M$13,$M$14+(C4-$M$12)*$M$15)</f>
        <v>-</v>
      </c>
      <c r="F4" s="16" cm="1">
        <f t="array" ref="F4">_xlfn.IFS(C4&lt;$M$36,"-",C4&lt;=$M$5,$M$18)</f>
        <v>7200</v>
      </c>
      <c r="G4" s="16" t="str" cm="1">
        <f t="array" ref="G4">_xlfn.IFS(OR(C4&lt;$M$21,AND(C4&gt;$M$22,C4&lt;=$M$5)),"-",C4&lt;=$M$22,C4*$M$23)</f>
        <v>-</v>
      </c>
      <c r="H4" s="16" t="str" cm="1">
        <f t="array" ref="H4">_xlfn.IFS(OR(C4&lt;$M$36,AND(C4&lt;=$M$5,C4&gt;$M$37)),"-",ROUNDUP(C4&lt;=(($M$37+$M$36)/2),0),$M$26,C4&lt;=$M$37,$M$27)</f>
        <v>-</v>
      </c>
      <c r="I4" s="16" t="str" cm="1">
        <f t="array" ref="I4">_xlfn.IFS(OR(AND(C4&lt;=$M$5,C4&gt;$M$37),C4&lt;$M$36),"-",C4&lt;=$M$37,$M$30/($M$37-$M$36+1))</f>
        <v>-</v>
      </c>
      <c r="J4" s="16" t="str" cm="1">
        <f t="array" ref="J4">_xlfn.IFS(C4&lt;$M$36,"-",AND(ISEVEN($M$36),ISEVEN(C4),C4&lt;=$M$37),$M$33,AND(ISODD($M$36),ISODD(C4),C4&lt;=$M$37),$M$33,C4&lt;=$M$5,"-")</f>
        <v>-</v>
      </c>
    </row>
    <row r="5" spans="3:14" x14ac:dyDescent="0.25">
      <c r="C5" s="4">
        <v>41</v>
      </c>
      <c r="D5" s="16" t="str" cm="1">
        <f t="array" ref="D5">_xlfn.IFS(OR(C5&lt;$M$36,AND(C5&gt;$M$37,C5&lt;=$M$5)),"-",C5&lt;=$M$36+(Annuity_Calc!$C$16),$M$9)</f>
        <v>-</v>
      </c>
      <c r="E5" s="16" t="str" cm="1">
        <f t="array" ref="E5">_xlfn.IFS(OR(C5&lt;$M$12,AND(C5&gt;$M$13,C5&lt;=$M$5)),"-",C5&lt;=$M$13,$M$14+(C5-$M$12)*$M$15)</f>
        <v>-</v>
      </c>
      <c r="F5" s="16" cm="1">
        <f t="array" ref="F5">_xlfn.IFS(C5&lt;$M$36,"-",C5&lt;=$M$5,$M$18)</f>
        <v>7200</v>
      </c>
      <c r="G5" s="16" t="str" cm="1">
        <f t="array" ref="G5">_xlfn.IFS(OR(C5&lt;$M$21,AND(C5&gt;$M$22,C5&lt;=$M$5)),"-",C5&lt;=$M$22,C5*$M$23)</f>
        <v>-</v>
      </c>
      <c r="H5" s="16" t="str" cm="1">
        <f t="array" ref="H5">_xlfn.IFS(OR(C5&lt;$M$36,AND(C5&lt;=$M$5,C5&gt;$M$37)),"-",ROUNDUP(C5&lt;=(($M$37+$M$36)/2),0),$M$26,C5&lt;=$M$37,$M$27)</f>
        <v>-</v>
      </c>
      <c r="I5" s="16" t="str" cm="1">
        <f t="array" ref="I5">_xlfn.IFS(OR(AND(C5&lt;=$M$5,C5&gt;$M$37),C5&lt;$M$36),"-",C5&lt;=$M$37,$M$30/($M$37-$M$36+1))</f>
        <v>-</v>
      </c>
      <c r="J5" s="16" t="str" cm="1">
        <f t="array" ref="J5">_xlfn.IFS(C5&lt;$M$36,"-",AND(ISEVEN($M$36),ISEVEN(C5),C5&lt;=$M$37),$M$33,AND(ISODD($M$36),ISODD(C5),C5&lt;=$M$37),$M$33,C5&lt;=$M$5,"-")</f>
        <v>-</v>
      </c>
      <c r="L5" s="2" t="s">
        <v>4</v>
      </c>
      <c r="M5" s="1">
        <v>110</v>
      </c>
    </row>
    <row r="6" spans="3:14" x14ac:dyDescent="0.25">
      <c r="C6" s="4">
        <v>42</v>
      </c>
      <c r="D6" s="16" t="str" cm="1">
        <f t="array" ref="D6">_xlfn.IFS(OR(C6&lt;$M$36,AND(C6&gt;$M$37,C6&lt;=$M$5)),"-",C6&lt;=$M$36+(Annuity_Calc!$C$16),$M$9)</f>
        <v>-</v>
      </c>
      <c r="E6" s="16" t="str" cm="1">
        <f t="array" ref="E6">_xlfn.IFS(OR(C6&lt;$M$12,AND(C6&gt;$M$13,C6&lt;=$M$5)),"-",C6&lt;=$M$13,$M$14+(C6-$M$12)*$M$15)</f>
        <v>-</v>
      </c>
      <c r="F6" s="16" cm="1">
        <f t="array" ref="F6">_xlfn.IFS(C6&lt;$M$36,"-",C6&lt;=$M$5,$M$18)</f>
        <v>7200</v>
      </c>
      <c r="G6" s="16" t="str" cm="1">
        <f t="array" ref="G6">_xlfn.IFS(OR(C6&lt;$M$21,AND(C6&gt;$M$22,C6&lt;=$M$5)),"-",C6&lt;=$M$22,C6*$M$23)</f>
        <v>-</v>
      </c>
      <c r="H6" s="16" t="str" cm="1">
        <f t="array" ref="H6">_xlfn.IFS(OR(C6&lt;$M$36,AND(C6&lt;=$M$5,C6&gt;$M$37)),"-",ROUNDUP(C6&lt;=(($M$37+$M$36)/2),0),$M$26,C6&lt;=$M$37,$M$27)</f>
        <v>-</v>
      </c>
      <c r="I6" s="16" t="str" cm="1">
        <f t="array" ref="I6">_xlfn.IFS(OR(AND(C6&lt;=$M$5,C6&gt;$M$37),C6&lt;$M$36),"-",C6&lt;=$M$37,$M$30/($M$37-$M$36+1))</f>
        <v>-</v>
      </c>
      <c r="J6" s="16" t="str" cm="1">
        <f t="array" ref="J6">_xlfn.IFS(C6&lt;$M$36,"-",AND(ISEVEN($M$36),ISEVEN(C6),C6&lt;=$M$37),$M$33,AND(ISODD($M$36),ISODD(C6),C6&lt;=$M$37),$M$33,C6&lt;=$M$5,"-")</f>
        <v>-</v>
      </c>
      <c r="L6" s="2" t="s">
        <v>5</v>
      </c>
      <c r="M6" s="1">
        <v>40</v>
      </c>
      <c r="N6" s="6"/>
    </row>
    <row r="7" spans="3:14" x14ac:dyDescent="0.25">
      <c r="C7" s="4">
        <v>43</v>
      </c>
      <c r="D7" s="16" t="str" cm="1">
        <f t="array" ref="D7">_xlfn.IFS(OR(C7&lt;$M$36,AND(C7&gt;$M$37,C7&lt;=$M$5)),"-",C7&lt;=$M$36+(Annuity_Calc!$C$16),$M$9)</f>
        <v>-</v>
      </c>
      <c r="E7" s="16" t="str" cm="1">
        <f t="array" ref="E7">_xlfn.IFS(OR(C7&lt;$M$12,AND(C7&gt;$M$13,C7&lt;=$M$5)),"-",C7&lt;=$M$13,$M$14+(C7-$M$12)*$M$15)</f>
        <v>-</v>
      </c>
      <c r="F7" s="16" cm="1">
        <f t="array" ref="F7">_xlfn.IFS(C7&lt;$M$36,"-",C7&lt;=$M$5,$M$18)</f>
        <v>7200</v>
      </c>
      <c r="G7" s="16" t="str" cm="1">
        <f t="array" ref="G7">_xlfn.IFS(OR(C7&lt;$M$21,AND(C7&gt;$M$22,C7&lt;=$M$5)),"-",C7&lt;=$M$22,C7*$M$23)</f>
        <v>-</v>
      </c>
      <c r="H7" s="16" t="str" cm="1">
        <f t="array" ref="H7">_xlfn.IFS(OR(C7&lt;$M$36,AND(C7&lt;=$M$5,C7&gt;$M$37)),"-",ROUNDUP(C7&lt;=(($M$37+$M$36)/2),0),$M$26,C7&lt;=$M$37,$M$27)</f>
        <v>-</v>
      </c>
      <c r="I7" s="16" t="str" cm="1">
        <f t="array" ref="I7">_xlfn.IFS(OR(AND(C7&lt;=$M$5,C7&gt;$M$37),C7&lt;$M$36),"-",C7&lt;=$M$37,$M$30/($M$37-$M$36+1))</f>
        <v>-</v>
      </c>
      <c r="J7" s="16" t="str" cm="1">
        <f t="array" ref="J7">_xlfn.IFS(C7&lt;$M$36,"-",AND(ISEVEN($M$36),ISEVEN(C7),C7&lt;=$M$37),$M$33,AND(ISODD($M$36),ISODD(C7),C7&lt;=$M$37),$M$33,C7&lt;=$M$5,"-")</f>
        <v>-</v>
      </c>
    </row>
    <row r="8" spans="3:14" x14ac:dyDescent="0.25">
      <c r="C8" s="4">
        <v>44</v>
      </c>
      <c r="D8" s="16" t="str" cm="1">
        <f t="array" ref="D8">_xlfn.IFS(OR(C8&lt;$M$36,AND(C8&gt;$M$37,C8&lt;=$M$5)),"-",C8&lt;=$M$36+(Annuity_Calc!$C$16),$M$9)</f>
        <v>-</v>
      </c>
      <c r="E8" s="16" t="str" cm="1">
        <f t="array" ref="E8">_xlfn.IFS(OR(C8&lt;$M$12,AND(C8&gt;$M$13,C8&lt;=$M$5)),"-",C8&lt;=$M$13,$M$14+(C8-$M$12)*$M$15)</f>
        <v>-</v>
      </c>
      <c r="F8" s="16" cm="1">
        <f t="array" ref="F8">_xlfn.IFS(C8&lt;$M$36,"-",C8&lt;=$M$5,$M$18)</f>
        <v>7200</v>
      </c>
      <c r="G8" s="16" t="str" cm="1">
        <f t="array" ref="G8">_xlfn.IFS(OR(C8&lt;$M$21,AND(C8&gt;$M$22,C8&lt;=$M$5)),"-",C8&lt;=$M$22,C8*$M$23)</f>
        <v>-</v>
      </c>
      <c r="H8" s="16" t="str" cm="1">
        <f t="array" ref="H8">_xlfn.IFS(OR(C8&lt;$M$36,AND(C8&lt;=$M$5,C8&gt;$M$37)),"-",ROUNDUP(C8&lt;=(($M$37+$M$36)/2),0),$M$26,C8&lt;=$M$37,$M$27)</f>
        <v>-</v>
      </c>
      <c r="I8" s="16" t="str" cm="1">
        <f t="array" ref="I8">_xlfn.IFS(OR(AND(C8&lt;=$M$5,C8&gt;$M$37),C8&lt;$M$36),"-",C8&lt;=$M$37,$M$30/($M$37-$M$36+1))</f>
        <v>-</v>
      </c>
      <c r="J8" s="16" t="str" cm="1">
        <f t="array" ref="J8">_xlfn.IFS(C8&lt;$M$36,"-",AND(ISEVEN($M$36),ISEVEN(C8),C8&lt;=$M$37),$M$33,AND(ISODD($M$36),ISODD(C8),C8&lt;=$M$37),$M$33,C8&lt;=$M$5,"-")</f>
        <v>-</v>
      </c>
      <c r="L8" s="10" t="s">
        <v>1</v>
      </c>
    </row>
    <row r="9" spans="3:14" x14ac:dyDescent="0.25">
      <c r="C9" s="4">
        <v>45</v>
      </c>
      <c r="D9" s="16" t="str" cm="1">
        <f t="array" ref="D9">_xlfn.IFS(OR(C9&lt;$M$36,AND(C9&gt;$M$37,C9&lt;=$M$5)),"-",C9&lt;=$M$36+(Annuity_Calc!$C$16),$M$9)</f>
        <v>-</v>
      </c>
      <c r="E9" s="16" t="str" cm="1">
        <f t="array" ref="E9">_xlfn.IFS(OR(C9&lt;$M$12,AND(C9&gt;$M$13,C9&lt;=$M$5)),"-",C9&lt;=$M$13,$M$14+(C9-$M$12)*$M$15)</f>
        <v>-</v>
      </c>
      <c r="F9" s="16" cm="1">
        <f t="array" ref="F9">_xlfn.IFS(C9&lt;$M$36,"-",C9&lt;=$M$5,$M$18)</f>
        <v>7200</v>
      </c>
      <c r="G9" s="16" t="str" cm="1">
        <f t="array" ref="G9">_xlfn.IFS(OR(C9&lt;$M$21,AND(C9&gt;$M$22,C9&lt;=$M$5)),"-",C9&lt;=$M$22,C9*$M$23)</f>
        <v>-</v>
      </c>
      <c r="H9" s="16" t="str" cm="1">
        <f t="array" ref="H9">_xlfn.IFS(OR(C9&lt;$M$36,AND(C9&lt;=$M$5,C9&gt;$M$37)),"-",ROUNDUP(C9&lt;=(($M$37+$M$36)/2),0),$M$26,C9&lt;=$M$37,$M$27)</f>
        <v>-</v>
      </c>
      <c r="I9" s="16" t="str" cm="1">
        <f t="array" ref="I9">_xlfn.IFS(OR(AND(C9&lt;=$M$5,C9&gt;$M$37),C9&lt;$M$36),"-",C9&lt;=$M$37,$M$30/($M$37-$M$36+1))</f>
        <v>-</v>
      </c>
      <c r="J9" s="16" t="str" cm="1">
        <f t="array" ref="J9">_xlfn.IFS(C9&lt;$M$36,"-",AND(ISEVEN($M$36),ISEVEN(C9),C9&lt;=$M$37),$M$33,AND(ISODD($M$36),ISODD(C9),C9&lt;=$M$37),$M$33,C9&lt;=$M$5,"-")</f>
        <v>-</v>
      </c>
      <c r="L9" s="2" t="s">
        <v>10</v>
      </c>
      <c r="M9" s="9">
        <v>15000</v>
      </c>
    </row>
    <row r="10" spans="3:14" x14ac:dyDescent="0.25">
      <c r="C10" s="4">
        <v>46</v>
      </c>
      <c r="D10" s="16" t="str" cm="1">
        <f t="array" ref="D10">_xlfn.IFS(OR(C10&lt;$M$36,AND(C10&gt;$M$37,C10&lt;=$M$5)),"-",C10&lt;=$M$36+(Annuity_Calc!$C$16),$M$9)</f>
        <v>-</v>
      </c>
      <c r="E10" s="16" t="str" cm="1">
        <f t="array" ref="E10">_xlfn.IFS(OR(C10&lt;$M$12,AND(C10&gt;$M$13,C10&lt;=$M$5)),"-",C10&lt;=$M$13,$M$14+(C10-$M$12)*$M$15)</f>
        <v>-</v>
      </c>
      <c r="F10" s="16" cm="1">
        <f t="array" ref="F10">_xlfn.IFS(C10&lt;$M$36,"-",C10&lt;=$M$5,$M$18)</f>
        <v>7200</v>
      </c>
      <c r="G10" s="16" t="str" cm="1">
        <f t="array" ref="G10">_xlfn.IFS(OR(C10&lt;$M$21,AND(C10&gt;$M$22,C10&lt;=$M$5)),"-",C10&lt;=$M$22,C10*$M$23)</f>
        <v>-</v>
      </c>
      <c r="H10" s="16" t="str" cm="1">
        <f t="array" ref="H10">_xlfn.IFS(OR(C10&lt;$M$36,AND(C10&lt;=$M$5,C10&gt;$M$37)),"-",ROUNDUP(C10&lt;=(($M$37+$M$36)/2),0),$M$26,C10&lt;=$M$37,$M$27)</f>
        <v>-</v>
      </c>
      <c r="I10" s="16" t="str" cm="1">
        <f t="array" ref="I10">_xlfn.IFS(OR(AND(C10&lt;=$M$5,C10&gt;$M$37),C10&lt;$M$36),"-",C10&lt;=$M$37,$M$30/($M$37-$M$36+1))</f>
        <v>-</v>
      </c>
      <c r="J10" s="16" t="str" cm="1">
        <f t="array" ref="J10">_xlfn.IFS(C10&lt;$M$36,"-",AND(ISEVEN($M$36),ISEVEN(C10),C10&lt;=$M$37),$M$33,AND(ISODD($M$36),ISODD(C10),C10&lt;=$M$37),$M$33,C10&lt;=$M$5,"-")</f>
        <v>-</v>
      </c>
    </row>
    <row r="11" spans="3:14" x14ac:dyDescent="0.25">
      <c r="C11" s="4">
        <v>47</v>
      </c>
      <c r="D11" s="16" t="str" cm="1">
        <f t="array" ref="D11">_xlfn.IFS(OR(C11&lt;$M$36,AND(C11&gt;$M$37,C11&lt;=$M$5)),"-",C11&lt;=$M$36+(Annuity_Calc!$C$16),$M$9)</f>
        <v>-</v>
      </c>
      <c r="E11" s="16" t="str" cm="1">
        <f t="array" ref="E11">_xlfn.IFS(OR(C11&lt;$M$12,AND(C11&gt;$M$13,C11&lt;=$M$5)),"-",C11&lt;=$M$13,$M$14+(C11-$M$12)*$M$15)</f>
        <v>-</v>
      </c>
      <c r="F11" s="16" cm="1">
        <f t="array" ref="F11">_xlfn.IFS(C11&lt;$M$36,"-",C11&lt;=$M$5,$M$18)</f>
        <v>7200</v>
      </c>
      <c r="G11" s="16" t="str" cm="1">
        <f t="array" ref="G11">_xlfn.IFS(OR(C11&lt;$M$21,AND(C11&gt;$M$22,C11&lt;=$M$5)),"-",C11&lt;=$M$22,C11*$M$23)</f>
        <v>-</v>
      </c>
      <c r="H11" s="16" t="str" cm="1">
        <f t="array" ref="H11">_xlfn.IFS(OR(C11&lt;$M$36,AND(C11&lt;=$M$5,C11&gt;$M$37)),"-",ROUNDUP(C11&lt;=(($M$37+$M$36)/2),0),$M$26,C11&lt;=$M$37,$M$27)</f>
        <v>-</v>
      </c>
      <c r="I11" s="16" t="str" cm="1">
        <f t="array" ref="I11">_xlfn.IFS(OR(AND(C11&lt;=$M$5,C11&gt;$M$37),C11&lt;$M$36),"-",C11&lt;=$M$37,$M$30/($M$37-$M$36+1))</f>
        <v>-</v>
      </c>
      <c r="J11" s="16" t="str" cm="1">
        <f t="array" ref="J11">_xlfn.IFS(C11&lt;$M$36,"-",AND(ISEVEN($M$36),ISEVEN(C11),C11&lt;=$M$37),$M$33,AND(ISODD($M$36),ISODD(C11),C11&lt;=$M$37),$M$33,C11&lt;=$M$5,"-")</f>
        <v>-</v>
      </c>
      <c r="L11" s="10" t="s">
        <v>8</v>
      </c>
    </row>
    <row r="12" spans="3:14" x14ac:dyDescent="0.25">
      <c r="C12" s="4">
        <v>48</v>
      </c>
      <c r="D12" s="16" t="str" cm="1">
        <f t="array" ref="D12">_xlfn.IFS(OR(C12&lt;$M$36,AND(C12&gt;$M$37,C12&lt;=$M$5)),"-",C12&lt;=$M$36+(Annuity_Calc!$C$16),$M$9)</f>
        <v>-</v>
      </c>
      <c r="E12" s="16" t="str" cm="1">
        <f t="array" ref="E12">_xlfn.IFS(OR(C12&lt;$M$12,AND(C12&gt;$M$13,C12&lt;=$M$5)),"-",C12&lt;=$M$13,$M$14+(C12-$M$12)*$M$15)</f>
        <v>-</v>
      </c>
      <c r="F12" s="16" cm="1">
        <f t="array" ref="F12">_xlfn.IFS(C12&lt;$M$36,"-",C12&lt;=$M$5,$M$18)</f>
        <v>7200</v>
      </c>
      <c r="G12" s="16" t="str" cm="1">
        <f t="array" ref="G12">_xlfn.IFS(OR(C12&lt;$M$21,AND(C12&gt;$M$22,C12&lt;=$M$5)),"-",C12&lt;=$M$22,C12*$M$23)</f>
        <v>-</v>
      </c>
      <c r="H12" s="16" t="str" cm="1">
        <f t="array" ref="H12">_xlfn.IFS(OR(C12&lt;$M$36,AND(C12&lt;=$M$5,C12&gt;$M$37)),"-",ROUNDUP(C12&lt;=(($M$37+$M$36)/2),0),$M$26,C12&lt;=$M$37,$M$27)</f>
        <v>-</v>
      </c>
      <c r="I12" s="16" t="str" cm="1">
        <f t="array" ref="I12">_xlfn.IFS(OR(AND(C12&lt;=$M$5,C12&gt;$M$37),C12&lt;$M$36),"-",C12&lt;=$M$37,$M$30/($M$37-$M$36+1))</f>
        <v>-</v>
      </c>
      <c r="J12" s="16" t="str" cm="1">
        <f t="array" ref="J12">_xlfn.IFS(C12&lt;$M$36,"-",AND(ISEVEN($M$36),ISEVEN(C12),C12&lt;=$M$37),$M$33,AND(ISODD($M$36),ISODD(C12),C12&lt;=$M$37),$M$33,C12&lt;=$M$5,"-")</f>
        <v>-</v>
      </c>
      <c r="L12" s="2" t="s">
        <v>6</v>
      </c>
      <c r="M12" s="1">
        <v>65</v>
      </c>
    </row>
    <row r="13" spans="3:14" x14ac:dyDescent="0.25">
      <c r="C13" s="4">
        <v>49</v>
      </c>
      <c r="D13" s="16" t="str" cm="1">
        <f t="array" ref="D13">_xlfn.IFS(OR(C13&lt;$M$36,AND(C13&gt;$M$37,C13&lt;=$M$5)),"-",C13&lt;=$M$36+(Annuity_Calc!$C$16),$M$9)</f>
        <v>-</v>
      </c>
      <c r="E13" s="16" t="str" cm="1">
        <f t="array" ref="E13">_xlfn.IFS(OR(C13&lt;$M$12,AND(C13&gt;$M$13,C13&lt;=$M$5)),"-",C13&lt;=$M$13,$M$14+(C13-$M$12)*$M$15)</f>
        <v>-</v>
      </c>
      <c r="F13" s="16" cm="1">
        <f t="array" ref="F13">_xlfn.IFS(C13&lt;$M$36,"-",C13&lt;=$M$5,$M$18)</f>
        <v>7200</v>
      </c>
      <c r="G13" s="16" t="str" cm="1">
        <f t="array" ref="G13">_xlfn.IFS(OR(C13&lt;$M$21,AND(C13&gt;$M$22,C13&lt;=$M$5)),"-",C13&lt;=$M$22,C13*$M$23)</f>
        <v>-</v>
      </c>
      <c r="H13" s="16" t="str" cm="1">
        <f t="array" ref="H13">_xlfn.IFS(OR(C13&lt;$M$36,AND(C13&lt;=$M$5,C13&gt;$M$37)),"-",ROUNDUP(C13&lt;=(($M$37+$M$36)/2),0),$M$26,C13&lt;=$M$37,$M$27)</f>
        <v>-</v>
      </c>
      <c r="I13" s="16" t="str" cm="1">
        <f t="array" ref="I13">_xlfn.IFS(OR(AND(C13&lt;=$M$5,C13&gt;$M$37),C13&lt;$M$36),"-",C13&lt;=$M$37,$M$30/($M$37-$M$36+1))</f>
        <v>-</v>
      </c>
      <c r="J13" s="16" t="str" cm="1">
        <f t="array" ref="J13">_xlfn.IFS(C13&lt;$M$36,"-",AND(ISEVEN($M$36),ISEVEN(C13),C13&lt;=$M$37),$M$33,AND(ISODD($M$36),ISODD(C13),C13&lt;=$M$37),$M$33,C13&lt;=$M$5,"-")</f>
        <v>-</v>
      </c>
      <c r="L13" s="2" t="s">
        <v>9</v>
      </c>
      <c r="M13" s="1">
        <v>94</v>
      </c>
    </row>
    <row r="14" spans="3:14" x14ac:dyDescent="0.25">
      <c r="C14" s="4">
        <v>50</v>
      </c>
      <c r="D14" s="16" t="str" cm="1">
        <f t="array" ref="D14">_xlfn.IFS(OR(C14&lt;$M$36,AND(C14&gt;$M$37,C14&lt;=$M$5)),"-",C14&lt;=$M$36+(Annuity_Calc!$C$16),$M$9)</f>
        <v>-</v>
      </c>
      <c r="E14" s="16" t="str" cm="1">
        <f t="array" ref="E14">_xlfn.IFS(OR(C14&lt;$M$12,AND(C14&gt;$M$13,C14&lt;=$M$5)),"-",C14&lt;=$M$13,$M$14+(C14-$M$12)*$M$15)</f>
        <v>-</v>
      </c>
      <c r="F14" s="16" cm="1">
        <f t="array" ref="F14">_xlfn.IFS(C14&lt;$M$36,"-",C14&lt;=$M$5,$M$18)</f>
        <v>7200</v>
      </c>
      <c r="G14" s="16" t="str" cm="1">
        <f t="array" ref="G14">_xlfn.IFS(OR(C14&lt;$M$21,AND(C14&gt;$M$22,C14&lt;=$M$5)),"-",C14&lt;=$M$22,C14*$M$23)</f>
        <v>-</v>
      </c>
      <c r="H14" s="16" t="str" cm="1">
        <f t="array" ref="H14">_xlfn.IFS(OR(C14&lt;$M$36,AND(C14&lt;=$M$5,C14&gt;$M$37)),"-",ROUNDUP(C14&lt;=(($M$37+$M$36)/2),0),$M$26,C14&lt;=$M$37,$M$27)</f>
        <v>-</v>
      </c>
      <c r="I14" s="16" t="str" cm="1">
        <f t="array" ref="I14">_xlfn.IFS(OR(AND(C14&lt;=$M$5,C14&gt;$M$37),C14&lt;$M$36),"-",C14&lt;=$M$37,$M$30/($M$37-$M$36+1))</f>
        <v>-</v>
      </c>
      <c r="J14" s="16" t="str" cm="1">
        <f t="array" ref="J14">_xlfn.IFS(C14&lt;$M$36,"-",AND(ISEVEN($M$36),ISEVEN(C14),C14&lt;=$M$37),$M$33,AND(ISODD($M$36),ISODD(C14),C14&lt;=$M$37),$M$33,C14&lt;=$M$5,"-")</f>
        <v>-</v>
      </c>
      <c r="L14" s="2" t="s">
        <v>132</v>
      </c>
      <c r="M14" s="9">
        <v>25000</v>
      </c>
    </row>
    <row r="15" spans="3:14" x14ac:dyDescent="0.25">
      <c r="C15" s="4">
        <v>51</v>
      </c>
      <c r="D15" s="16" t="str" cm="1">
        <f t="array" ref="D15">_xlfn.IFS(OR(C15&lt;$M$36,AND(C15&gt;$M$37,C15&lt;=$M$5)),"-",C15&lt;=$M$36+(Annuity_Calc!$C$16),$M$9)</f>
        <v>-</v>
      </c>
      <c r="E15" s="16" t="str" cm="1">
        <f t="array" ref="E15">_xlfn.IFS(OR(C15&lt;$M$12,AND(C15&gt;$M$13,C15&lt;=$M$5)),"-",C15&lt;=$M$13,$M$14+(C15-$M$12)*$M$15)</f>
        <v>-</v>
      </c>
      <c r="F15" s="16" cm="1">
        <f t="array" ref="F15">_xlfn.IFS(C15&lt;$M$36,"-",C15&lt;=$M$5,$M$18)</f>
        <v>7200</v>
      </c>
      <c r="G15" s="16" t="str" cm="1">
        <f t="array" ref="G15">_xlfn.IFS(OR(C15&lt;$M$21,AND(C15&gt;$M$22,C15&lt;=$M$5)),"-",C15&lt;=$M$22,C15*$M$23)</f>
        <v>-</v>
      </c>
      <c r="H15" s="16" t="str" cm="1">
        <f t="array" ref="H15">_xlfn.IFS(OR(C15&lt;$M$36,AND(C15&lt;=$M$5,C15&gt;$M$37)),"-",ROUNDUP(C15&lt;=(($M$37+$M$36)/2),0),$M$26,C15&lt;=$M$37,$M$27)</f>
        <v>-</v>
      </c>
      <c r="I15" s="16" t="str" cm="1">
        <f t="array" ref="I15">_xlfn.IFS(OR(AND(C15&lt;=$M$5,C15&gt;$M$37),C15&lt;$M$36),"-",C15&lt;=$M$37,$M$30/($M$37-$M$36+1))</f>
        <v>-</v>
      </c>
      <c r="J15" s="16" t="str" cm="1">
        <f t="array" ref="J15">_xlfn.IFS(C15&lt;$M$36,"-",AND(ISEVEN($M$36),ISEVEN(C15),C15&lt;=$M$37),$M$33,AND(ISODD($M$36),ISODD(C15),C15&lt;=$M$37),$M$33,C15&lt;=$M$5,"-")</f>
        <v>-</v>
      </c>
      <c r="L15" s="2" t="s">
        <v>133</v>
      </c>
      <c r="M15" s="9">
        <v>1000</v>
      </c>
    </row>
    <row r="16" spans="3:14" x14ac:dyDescent="0.25">
      <c r="C16" s="4">
        <v>52</v>
      </c>
      <c r="D16" s="16" t="str" cm="1">
        <f t="array" ref="D16">_xlfn.IFS(OR(C16&lt;$M$36,AND(C16&gt;$M$37,C16&lt;=$M$5)),"-",C16&lt;=$M$36+(Annuity_Calc!$C$16),$M$9)</f>
        <v>-</v>
      </c>
      <c r="E16" s="16" t="str" cm="1">
        <f t="array" ref="E16">_xlfn.IFS(OR(C16&lt;$M$12,AND(C16&gt;$M$13,C16&lt;=$M$5)),"-",C16&lt;=$M$13,$M$14+(C16-$M$12)*$M$15)</f>
        <v>-</v>
      </c>
      <c r="F16" s="16" cm="1">
        <f t="array" ref="F16">_xlfn.IFS(C16&lt;$M$36,"-",C16&lt;=$M$5,$M$18)</f>
        <v>7200</v>
      </c>
      <c r="G16" s="16" t="str" cm="1">
        <f t="array" ref="G16">_xlfn.IFS(OR(C16&lt;$M$21,AND(C16&gt;$M$22,C16&lt;=$M$5)),"-",C16&lt;=$M$22,C16*$M$23)</f>
        <v>-</v>
      </c>
      <c r="H16" s="16" t="str" cm="1">
        <f t="array" ref="H16">_xlfn.IFS(OR(C16&lt;$M$36,AND(C16&lt;=$M$5,C16&gt;$M$37)),"-",ROUNDUP(C16&lt;=(($M$37+$M$36)/2),0),$M$26,C16&lt;=$M$37,$M$27)</f>
        <v>-</v>
      </c>
      <c r="I16" s="16" t="str" cm="1">
        <f t="array" ref="I16">_xlfn.IFS(OR(AND(C16&lt;=$M$5,C16&gt;$M$37),C16&lt;$M$36),"-",C16&lt;=$M$37,$M$30/($M$37-$M$36+1))</f>
        <v>-</v>
      </c>
      <c r="J16" s="16" t="str" cm="1">
        <f t="array" ref="J16">_xlfn.IFS(C16&lt;$M$36,"-",AND(ISEVEN($M$36),ISEVEN(C16),C16&lt;=$M$37),$M$33,AND(ISODD($M$36),ISODD(C16),C16&lt;=$M$37),$M$33,C16&lt;=$M$5,"-")</f>
        <v>-</v>
      </c>
    </row>
    <row r="17" spans="3:13" x14ac:dyDescent="0.25">
      <c r="C17" s="4">
        <v>53</v>
      </c>
      <c r="D17" s="16" t="str" cm="1">
        <f t="array" ref="D17">_xlfn.IFS(OR(C17&lt;$M$36,AND(C17&gt;$M$37,C17&lt;=$M$5)),"-",C17&lt;=$M$36+(Annuity_Calc!$C$16),$M$9)</f>
        <v>-</v>
      </c>
      <c r="E17" s="16" t="str" cm="1">
        <f t="array" ref="E17">_xlfn.IFS(OR(C17&lt;$M$12,AND(C17&gt;$M$13,C17&lt;=$M$5)),"-",C17&lt;=$M$13,$M$14+(C17-$M$12)*$M$15)</f>
        <v>-</v>
      </c>
      <c r="F17" s="16" cm="1">
        <f t="array" ref="F17">_xlfn.IFS(C17&lt;$M$36,"-",C17&lt;=$M$5,$M$18)</f>
        <v>7200</v>
      </c>
      <c r="G17" s="16" t="str" cm="1">
        <f t="array" ref="G17">_xlfn.IFS(OR(C17&lt;$M$21,AND(C17&gt;$M$22,C17&lt;=$M$5)),"-",C17&lt;=$M$22,C17*$M$23)</f>
        <v>-</v>
      </c>
      <c r="H17" s="16" t="str" cm="1">
        <f t="array" ref="H17">_xlfn.IFS(OR(C17&lt;$M$36,AND(C17&lt;=$M$5,C17&gt;$M$37)),"-",ROUNDUP(C17&lt;=(($M$37+$M$36)/2),0),$M$26,C17&lt;=$M$37,$M$27)</f>
        <v>-</v>
      </c>
      <c r="I17" s="16" t="str" cm="1">
        <f t="array" ref="I17">_xlfn.IFS(OR(AND(C17&lt;=$M$5,C17&gt;$M$37),C17&lt;$M$36),"-",C17&lt;=$M$37,$M$30/($M$37-$M$36+1))</f>
        <v>-</v>
      </c>
      <c r="J17" s="16" t="str" cm="1">
        <f t="array" ref="J17">_xlfn.IFS(C17&lt;$M$36,"-",AND(ISEVEN($M$36),ISEVEN(C17),C17&lt;=$M$37),$M$33,AND(ISODD($M$36),ISODD(C17),C17&lt;=$M$37),$M$33,C17&lt;=$M$5,"-")</f>
        <v>-</v>
      </c>
      <c r="L17" s="10" t="s">
        <v>2</v>
      </c>
    </row>
    <row r="18" spans="3:13" x14ac:dyDescent="0.25">
      <c r="C18" s="4">
        <v>54</v>
      </c>
      <c r="D18" s="16" t="str" cm="1">
        <f t="array" ref="D18">_xlfn.IFS(OR(C18&lt;$M$36,AND(C18&gt;$M$37,C18&lt;=$M$5)),"-",C18&lt;=$M$36+(Annuity_Calc!$C$16),$M$9)</f>
        <v>-</v>
      </c>
      <c r="E18" s="16" t="str" cm="1">
        <f t="array" ref="E18">_xlfn.IFS(OR(C18&lt;$M$12,AND(C18&gt;$M$13,C18&lt;=$M$5)),"-",C18&lt;=$M$13,$M$14+(C18-$M$12)*$M$15)</f>
        <v>-</v>
      </c>
      <c r="F18" s="16" cm="1">
        <f t="array" ref="F18">_xlfn.IFS(C18&lt;$M$36,"-",C18&lt;=$M$5,$M$18)</f>
        <v>7200</v>
      </c>
      <c r="G18" s="16" t="str" cm="1">
        <f t="array" ref="G18">_xlfn.IFS(OR(C18&lt;$M$21,AND(C18&gt;$M$22,C18&lt;=$M$5)),"-",C18&lt;=$M$22,C18*$M$23)</f>
        <v>-</v>
      </c>
      <c r="H18" s="16" t="str" cm="1">
        <f t="array" ref="H18">_xlfn.IFS(OR(C18&lt;$M$36,AND(C18&lt;=$M$5,C18&gt;$M$37)),"-",ROUNDUP(C18&lt;=(($M$37+$M$36)/2),0),$M$26,C18&lt;=$M$37,$M$27)</f>
        <v>-</v>
      </c>
      <c r="I18" s="16" t="str" cm="1">
        <f t="array" ref="I18">_xlfn.IFS(OR(AND(C18&lt;=$M$5,C18&gt;$M$37),C18&lt;$M$36),"-",C18&lt;=$M$37,$M$30/($M$37-$M$36+1))</f>
        <v>-</v>
      </c>
      <c r="J18" s="16" t="str" cm="1">
        <f t="array" ref="J18">_xlfn.IFS(C18&lt;$M$36,"-",AND(ISEVEN($M$36),ISEVEN(C18),C18&lt;=$M$37),$M$33,AND(ISODD($M$36),ISODD(C18),C18&lt;=$M$37),$M$33,C18&lt;=$M$5,"-")</f>
        <v>-</v>
      </c>
      <c r="L18" s="2" t="s">
        <v>10</v>
      </c>
      <c r="M18" s="9">
        <v>7200</v>
      </c>
    </row>
    <row r="19" spans="3:13" x14ac:dyDescent="0.25">
      <c r="C19" s="4">
        <v>55</v>
      </c>
      <c r="D19" s="16" t="str" cm="1">
        <f t="array" ref="D19">_xlfn.IFS(OR(C19&lt;$M$36,AND(C19&gt;$M$37,C19&lt;=$M$5)),"-",C19&lt;=$M$36+(Annuity_Calc!$C$16),$M$9)</f>
        <v>-</v>
      </c>
      <c r="E19" s="16" t="str" cm="1">
        <f t="array" ref="E19">_xlfn.IFS(OR(C19&lt;$M$12,AND(C19&gt;$M$13,C19&lt;=$M$5)),"-",C19&lt;=$M$13,$M$14+(C19-$M$12)*$M$15)</f>
        <v>-</v>
      </c>
      <c r="F19" s="16" cm="1">
        <f t="array" ref="F19">_xlfn.IFS(C19&lt;$M$36,"-",C19&lt;=$M$5,$M$18)</f>
        <v>7200</v>
      </c>
      <c r="G19" s="16" t="str" cm="1">
        <f t="array" ref="G19">_xlfn.IFS(OR(C19&lt;$M$21,AND(C19&gt;$M$22,C19&lt;=$M$5)),"-",C19&lt;=$M$22,C19*$M$23)</f>
        <v>-</v>
      </c>
      <c r="H19" s="16" t="str" cm="1">
        <f t="array" ref="H19">_xlfn.IFS(OR(C19&lt;$M$36,AND(C19&lt;=$M$5,C19&gt;$M$37)),"-",ROUNDUP(C19&lt;=(($M$37+$M$36)/2),0),$M$26,C19&lt;=$M$37,$M$27)</f>
        <v>-</v>
      </c>
      <c r="I19" s="16" t="str" cm="1">
        <f t="array" ref="I19">_xlfn.IFS(OR(AND(C19&lt;=$M$5,C19&gt;$M$37),C19&lt;$M$36),"-",C19&lt;=$M$37,$M$30/($M$37-$M$36+1))</f>
        <v>-</v>
      </c>
      <c r="J19" s="16" t="str" cm="1">
        <f t="array" ref="J19">_xlfn.IFS(C19&lt;$M$36,"-",AND(ISEVEN($M$36),ISEVEN(C19),C19&lt;=$M$37),$M$33,AND(ISODD($M$36),ISODD(C19),C19&lt;=$M$37),$M$33,C19&lt;=$M$5,"-")</f>
        <v>-</v>
      </c>
    </row>
    <row r="20" spans="3:13" x14ac:dyDescent="0.25">
      <c r="C20" s="4">
        <v>56</v>
      </c>
      <c r="D20" s="16" t="str" cm="1">
        <f t="array" ref="D20">_xlfn.IFS(OR(C20&lt;$M$36,AND(C20&gt;$M$37,C20&lt;=$M$5)),"-",C20&lt;=$M$36+(Annuity_Calc!$C$16),$M$9)</f>
        <v>-</v>
      </c>
      <c r="E20" s="16" t="str" cm="1">
        <f t="array" ref="E20">_xlfn.IFS(OR(C20&lt;$M$12,AND(C20&gt;$M$13,C20&lt;=$M$5)),"-",C20&lt;=$M$13,$M$14+(C20-$M$12)*$M$15)</f>
        <v>-</v>
      </c>
      <c r="F20" s="16" cm="1">
        <f t="array" ref="F20">_xlfn.IFS(C20&lt;$M$36,"-",C20&lt;=$M$5,$M$18)</f>
        <v>7200</v>
      </c>
      <c r="G20" s="16" t="str" cm="1">
        <f t="array" ref="G20">_xlfn.IFS(OR(C20&lt;$M$21,AND(C20&gt;$M$22,C20&lt;=$M$5)),"-",C20&lt;=$M$22,C20*$M$23)</f>
        <v>-</v>
      </c>
      <c r="H20" s="16" t="str" cm="1">
        <f t="array" ref="H20">_xlfn.IFS(OR(C20&lt;$M$36,AND(C20&lt;=$M$5,C20&gt;$M$37)),"-",ROUNDUP(C20&lt;=(($M$37+$M$36)/2),0),$M$26,C20&lt;=$M$37,$M$27)</f>
        <v>-</v>
      </c>
      <c r="I20" s="16" t="str" cm="1">
        <f t="array" ref="I20">_xlfn.IFS(OR(AND(C20&lt;=$M$5,C20&gt;$M$37),C20&lt;$M$36),"-",C20&lt;=$M$37,$M$30/($M$37-$M$36+1))</f>
        <v>-</v>
      </c>
      <c r="J20" s="16" t="str" cm="1">
        <f t="array" ref="J20">_xlfn.IFS(C20&lt;$M$36,"-",AND(ISEVEN($M$36),ISEVEN(C20),C20&lt;=$M$37),$M$33,AND(ISODD($M$36),ISODD(C20),C20&lt;=$M$37),$M$33,C20&lt;=$M$5,"-")</f>
        <v>-</v>
      </c>
      <c r="L20" s="10" t="s">
        <v>11</v>
      </c>
    </row>
    <row r="21" spans="3:13" x14ac:dyDescent="0.25">
      <c r="C21" s="4">
        <v>57</v>
      </c>
      <c r="D21" s="16" t="str" cm="1">
        <f t="array" ref="D21">_xlfn.IFS(OR(C21&lt;$M$36,AND(C21&gt;$M$37,C21&lt;=$M$5)),"-",C21&lt;=$M$36+(Annuity_Calc!$C$16),$M$9)</f>
        <v>-</v>
      </c>
      <c r="E21" s="16" t="str" cm="1">
        <f t="array" ref="E21">_xlfn.IFS(OR(C21&lt;$M$12,AND(C21&gt;$M$13,C21&lt;=$M$5)),"-",C21&lt;=$M$13,$M$14+(C21-$M$12)*$M$15)</f>
        <v>-</v>
      </c>
      <c r="F21" s="16" cm="1">
        <f t="array" ref="F21">_xlfn.IFS(C21&lt;$M$36,"-",C21&lt;=$M$5,$M$18)</f>
        <v>7200</v>
      </c>
      <c r="G21" s="16" t="str" cm="1">
        <f t="array" ref="G21">_xlfn.IFS(OR(C21&lt;$M$21,AND(C21&gt;$M$22,C21&lt;=$M$5)),"-",C21&lt;=$M$22,C21*$M$23)</f>
        <v>-</v>
      </c>
      <c r="H21" s="16" t="str" cm="1">
        <f t="array" ref="H21">_xlfn.IFS(OR(C21&lt;$M$36,AND(C21&lt;=$M$5,C21&gt;$M$37)),"-",ROUNDUP(C21&lt;=(($M$37+$M$36)/2),0),$M$26,C21&lt;=$M$37,$M$27)</f>
        <v>-</v>
      </c>
      <c r="I21" s="16" t="str" cm="1">
        <f t="array" ref="I21">_xlfn.IFS(OR(AND(C21&lt;=$M$5,C21&gt;$M$37),C21&lt;$M$36),"-",C21&lt;=$M$37,$M$30/($M$37-$M$36+1))</f>
        <v>-</v>
      </c>
      <c r="J21" s="16" t="str" cm="1">
        <f t="array" ref="J21">_xlfn.IFS(C21&lt;$M$36,"-",AND(ISEVEN($M$36),ISEVEN(C21),C21&lt;=$M$37),$M$33,AND(ISODD($M$36),ISODD(C21),C21&lt;=$M$37),$M$33,C21&lt;=$M$5,"-")</f>
        <v>-</v>
      </c>
      <c r="L21" s="2" t="s">
        <v>6</v>
      </c>
      <c r="M21" s="1">
        <v>60</v>
      </c>
    </row>
    <row r="22" spans="3:13" x14ac:dyDescent="0.25">
      <c r="C22" s="4">
        <v>58</v>
      </c>
      <c r="D22" s="16" t="str" cm="1">
        <f t="array" ref="D22">_xlfn.IFS(OR(C22&lt;$M$36,AND(C22&gt;$M$37,C22&lt;=$M$5)),"-",C22&lt;=$M$36+(Annuity_Calc!$C$16),$M$9)</f>
        <v>-</v>
      </c>
      <c r="E22" s="16" t="str" cm="1">
        <f t="array" ref="E22">_xlfn.IFS(OR(C22&lt;$M$12,AND(C22&gt;$M$13,C22&lt;=$M$5)),"-",C22&lt;=$M$13,$M$14+(C22-$M$12)*$M$15)</f>
        <v>-</v>
      </c>
      <c r="F22" s="16" cm="1">
        <f t="array" ref="F22">_xlfn.IFS(C22&lt;$M$36,"-",C22&lt;=$M$5,$M$18)</f>
        <v>7200</v>
      </c>
      <c r="G22" s="16" t="str" cm="1">
        <f t="array" ref="G22">_xlfn.IFS(OR(C22&lt;$M$21,AND(C22&gt;$M$22,C22&lt;=$M$5)),"-",C22&lt;=$M$22,C22*$M$23)</f>
        <v>-</v>
      </c>
      <c r="H22" s="16" t="str" cm="1">
        <f t="array" ref="H22">_xlfn.IFS(OR(C22&lt;$M$36,AND(C22&lt;=$M$5,C22&gt;$M$37)),"-",ROUNDUP(C22&lt;=(($M$37+$M$36)/2),0),$M$26,C22&lt;=$M$37,$M$27)</f>
        <v>-</v>
      </c>
      <c r="I22" s="16" t="str" cm="1">
        <f t="array" ref="I22">_xlfn.IFS(OR(AND(C22&lt;=$M$5,C22&gt;$M$37),C22&lt;$M$36),"-",C22&lt;=$M$37,$M$30/($M$37-$M$36+1))</f>
        <v>-</v>
      </c>
      <c r="J22" s="16" t="str" cm="1">
        <f t="array" ref="J22">_xlfn.IFS(C22&lt;$M$36,"-",AND(ISEVEN($M$36),ISEVEN(C22),C22&lt;=$M$37),$M$33,AND(ISODD($M$36),ISODD(C22),C22&lt;=$M$37),$M$33,C22&lt;=$M$5,"-")</f>
        <v>-</v>
      </c>
      <c r="L22" s="2" t="s">
        <v>9</v>
      </c>
      <c r="M22" s="1">
        <v>100</v>
      </c>
    </row>
    <row r="23" spans="3:13" x14ac:dyDescent="0.25">
      <c r="C23" s="4">
        <v>59</v>
      </c>
      <c r="D23" s="16" t="str" cm="1">
        <f t="array" ref="D23">_xlfn.IFS(OR(C23&lt;$M$36,AND(C23&gt;$M$37,C23&lt;=$M$5)),"-",C23&lt;=$M$36+(Annuity_Calc!$C$16),$M$9)</f>
        <v>-</v>
      </c>
      <c r="E23" s="16" t="str" cm="1">
        <f t="array" ref="E23">_xlfn.IFS(OR(C23&lt;$M$12,AND(C23&gt;$M$13,C23&lt;=$M$5)),"-",C23&lt;=$M$13,$M$14+(C23-$M$12)*$M$15)</f>
        <v>-</v>
      </c>
      <c r="F23" s="16" cm="1">
        <f t="array" ref="F23">_xlfn.IFS(C23&lt;$M$36,"-",C23&lt;=$M$5,$M$18)</f>
        <v>7200</v>
      </c>
      <c r="G23" s="16" t="str" cm="1">
        <f t="array" ref="G23">_xlfn.IFS(OR(C23&lt;$M$21,AND(C23&gt;$M$22,C23&lt;=$M$5)),"-",C23&lt;=$M$22,C23*$M$23)</f>
        <v>-</v>
      </c>
      <c r="H23" s="16" t="str" cm="1">
        <f t="array" ref="H23">_xlfn.IFS(OR(C23&lt;$M$36,AND(C23&lt;=$M$5,C23&gt;$M$37)),"-",ROUNDUP(C23&lt;=(($M$37+$M$36)/2),0),$M$26,C23&lt;=$M$37,$M$27)</f>
        <v>-</v>
      </c>
      <c r="I23" s="16" t="str" cm="1">
        <f t="array" ref="I23">_xlfn.IFS(OR(AND(C23&lt;=$M$5,C23&gt;$M$37),C23&lt;$M$36),"-",C23&lt;=$M$37,$M$30/($M$37-$M$36+1))</f>
        <v>-</v>
      </c>
      <c r="J23" s="16" t="str" cm="1">
        <f t="array" ref="J23">_xlfn.IFS(C23&lt;$M$36,"-",AND(ISEVEN($M$36),ISEVEN(C23),C23&lt;=$M$37),$M$33,AND(ISODD($M$36),ISODD(C23),C23&lt;=$M$37),$M$33,C23&lt;=$M$5,"-")</f>
        <v>-</v>
      </c>
      <c r="L23" s="2" t="s">
        <v>10</v>
      </c>
      <c r="M23" s="9">
        <v>1000</v>
      </c>
    </row>
    <row r="24" spans="3:13" x14ac:dyDescent="0.25">
      <c r="C24" s="4">
        <v>60</v>
      </c>
      <c r="D24" s="16" t="str" cm="1">
        <f t="array" ref="D24">_xlfn.IFS(OR(C24&lt;$M$36,AND(C24&gt;$M$37,C24&lt;=$M$5)),"-",C24&lt;=$M$36+(Annuity_Calc!$C$16),$M$9)</f>
        <v>-</v>
      </c>
      <c r="E24" s="16" t="str" cm="1">
        <f t="array" ref="E24">_xlfn.IFS(OR(C24&lt;$M$12,AND(C24&gt;$M$13,C24&lt;=$M$5)),"-",C24&lt;=$M$13,$M$14+(C24-$M$12)*$M$15)</f>
        <v>-</v>
      </c>
      <c r="F24" s="16" cm="1">
        <f t="array" ref="F24">_xlfn.IFS(C24&lt;$M$36,"-",C24&lt;=$M$5,$M$18)</f>
        <v>7200</v>
      </c>
      <c r="G24" s="16" cm="1">
        <f t="array" ref="G24">_xlfn.IFS(OR(C24&lt;$M$21,AND(C24&gt;$M$22,C24&lt;=$M$5)),"-",C24&lt;=$M$22,C24*$M$23)</f>
        <v>60000</v>
      </c>
      <c r="H24" s="16" t="str" cm="1">
        <f t="array" ref="H24">_xlfn.IFS(OR(C24&lt;$M$36,AND(C24&lt;=$M$5,C24&gt;$M$37)),"-",ROUNDUP(C24&lt;=(($M$37+$M$36)/2),0),$M$26,C24&lt;=$M$37,$M$27)</f>
        <v>-</v>
      </c>
      <c r="I24" s="16" t="str" cm="1">
        <f t="array" ref="I24">_xlfn.IFS(OR(AND(C24&lt;=$M$5,C24&gt;$M$37),C24&lt;$M$36),"-",C24&lt;=$M$37,$M$30/($M$37-$M$36+1))</f>
        <v>-</v>
      </c>
      <c r="J24" s="16" t="str" cm="1">
        <f t="array" ref="J24">_xlfn.IFS(C24&lt;$M$36,"-",AND(ISEVEN($M$36),ISEVEN(C24),C24&lt;=$M$37),$M$33,AND(ISODD($M$36),ISODD(C24),C24&lt;=$M$37),$M$33,C24&lt;=$M$5,"-")</f>
        <v>-</v>
      </c>
    </row>
    <row r="25" spans="3:13" x14ac:dyDescent="0.25">
      <c r="C25" s="4">
        <v>61</v>
      </c>
      <c r="D25" s="16" t="str" cm="1">
        <f t="array" ref="D25">_xlfn.IFS(OR(C25&lt;$M$36,AND(C25&gt;$M$37,C25&lt;=$M$5)),"-",C25&lt;=$M$36+(Annuity_Calc!$C$16),$M$9)</f>
        <v>-</v>
      </c>
      <c r="E25" s="16" t="str" cm="1">
        <f t="array" ref="E25">_xlfn.IFS(OR(C25&lt;$M$12,AND(C25&gt;$M$13,C25&lt;=$M$5)),"-",C25&lt;=$M$13,$M$14+(C25-$M$12)*$M$15)</f>
        <v>-</v>
      </c>
      <c r="F25" s="16" cm="1">
        <f t="array" ref="F25">_xlfn.IFS(C25&lt;$M$36,"-",C25&lt;=$M$5,$M$18)</f>
        <v>7200</v>
      </c>
      <c r="G25" s="16" cm="1">
        <f t="array" ref="G25">_xlfn.IFS(OR(C25&lt;$M$21,AND(C25&gt;$M$22,C25&lt;=$M$5)),"-",C25&lt;=$M$22,C25*$M$23)</f>
        <v>61000</v>
      </c>
      <c r="H25" s="16" t="str" cm="1">
        <f t="array" ref="H25">_xlfn.IFS(OR(C25&lt;$M$36,AND(C25&lt;=$M$5,C25&gt;$M$37)),"-",ROUNDUP(C25&lt;=(($M$37+$M$36)/2),0),$M$26,C25&lt;=$M$37,$M$27)</f>
        <v>-</v>
      </c>
      <c r="I25" s="16" t="str" cm="1">
        <f t="array" ref="I25">_xlfn.IFS(OR(AND(C25&lt;=$M$5,C25&gt;$M$37),C25&lt;$M$36),"-",C25&lt;=$M$37,$M$30/($M$37-$M$36+1))</f>
        <v>-</v>
      </c>
      <c r="J25" s="16" t="str" cm="1">
        <f t="array" ref="J25">_xlfn.IFS(C25&lt;$M$36,"-",AND(ISEVEN($M$36),ISEVEN(C25),C25&lt;=$M$37),$M$33,AND(ISODD($M$36),ISODD(C25),C25&lt;=$M$37),$M$33,C25&lt;=$M$5,"-")</f>
        <v>-</v>
      </c>
      <c r="L25" s="10" t="s">
        <v>3</v>
      </c>
    </row>
    <row r="26" spans="3:13" x14ac:dyDescent="0.25">
      <c r="C26" s="4">
        <v>62</v>
      </c>
      <c r="D26" s="16" t="str" cm="1">
        <f t="array" ref="D26">_xlfn.IFS(OR(C26&lt;$M$36,AND(C26&gt;$M$37,C26&lt;=$M$5)),"-",C26&lt;=$M$36+(Annuity_Calc!$C$16),$M$9)</f>
        <v>-</v>
      </c>
      <c r="E26" s="16" t="str" cm="1">
        <f t="array" ref="E26">_xlfn.IFS(OR(C26&lt;$M$12,AND(C26&gt;$M$13,C26&lt;=$M$5)),"-",C26&lt;=$M$13,$M$14+(C26-$M$12)*$M$15)</f>
        <v>-</v>
      </c>
      <c r="F26" s="16" cm="1">
        <f t="array" ref="F26">_xlfn.IFS(C26&lt;$M$36,"-",C26&lt;=$M$5,$M$18)</f>
        <v>7200</v>
      </c>
      <c r="G26" s="16" cm="1">
        <f t="array" ref="G26">_xlfn.IFS(OR(C26&lt;$M$21,AND(C26&gt;$M$22,C26&lt;=$M$5)),"-",C26&lt;=$M$22,C26*$M$23)</f>
        <v>62000</v>
      </c>
      <c r="H26" s="16" t="str" cm="1">
        <f t="array" ref="H26">_xlfn.IFS(OR(C26&lt;$M$36,AND(C26&lt;=$M$5,C26&gt;$M$37)),"-",ROUNDUP(C26&lt;=(($M$37+$M$36)/2),0),$M$26,C26&lt;=$M$37,$M$27)</f>
        <v>-</v>
      </c>
      <c r="I26" s="16" t="str" cm="1">
        <f t="array" ref="I26">_xlfn.IFS(OR(AND(C26&lt;=$M$5,C26&gt;$M$37),C26&lt;$M$36),"-",C26&lt;=$M$37,$M$30/($M$37-$M$36+1))</f>
        <v>-</v>
      </c>
      <c r="J26" s="16" t="str" cm="1">
        <f t="array" ref="J26">_xlfn.IFS(C26&lt;$M$36,"-",AND(ISEVEN($M$36),ISEVEN(C26),C26&lt;=$M$37),$M$33,AND(ISODD($M$36),ISODD(C26),C26&lt;=$M$37),$M$33,C26&lt;=$M$5,"-")</f>
        <v>-</v>
      </c>
      <c r="L26" s="2" t="s">
        <v>12</v>
      </c>
      <c r="M26" s="9">
        <v>19000</v>
      </c>
    </row>
    <row r="27" spans="3:13" x14ac:dyDescent="0.25">
      <c r="C27" s="4">
        <v>63</v>
      </c>
      <c r="D27" s="16" t="str" cm="1">
        <f t="array" ref="D27">_xlfn.IFS(OR(C27&lt;$M$36,AND(C27&gt;$M$37,C27&lt;=$M$5)),"-",C27&lt;=$M$36+(Annuity_Calc!$C$16),$M$9)</f>
        <v>-</v>
      </c>
      <c r="E27" s="16" t="str" cm="1">
        <f t="array" ref="E27">_xlfn.IFS(OR(C27&lt;$M$12,AND(C27&gt;$M$13,C27&lt;=$M$5)),"-",C27&lt;=$M$13,$M$14+(C27-$M$12)*$M$15)</f>
        <v>-</v>
      </c>
      <c r="F27" s="16" cm="1">
        <f t="array" ref="F27">_xlfn.IFS(C27&lt;$M$36,"-",C27&lt;=$M$5,$M$18)</f>
        <v>7200</v>
      </c>
      <c r="G27" s="16" cm="1">
        <f t="array" ref="G27">_xlfn.IFS(OR(C27&lt;$M$21,AND(C27&gt;$M$22,C27&lt;=$M$5)),"-",C27&lt;=$M$22,C27*$M$23)</f>
        <v>63000</v>
      </c>
      <c r="H27" s="16" t="str" cm="1">
        <f t="array" ref="H27">_xlfn.IFS(OR(C27&lt;$M$36,AND(C27&lt;=$M$5,C27&gt;$M$37)),"-",ROUNDUP(C27&lt;=(($M$37+$M$36)/2),0),$M$26,C27&lt;=$M$37,$M$27)</f>
        <v>-</v>
      </c>
      <c r="I27" s="16" t="str" cm="1">
        <f t="array" ref="I27">_xlfn.IFS(OR(AND(C27&lt;=$M$5,C27&gt;$M$37),C27&lt;$M$36),"-",C27&lt;=$M$37,$M$30/($M$37-$M$36+1))</f>
        <v>-</v>
      </c>
      <c r="J27" s="16" t="str" cm="1">
        <f t="array" ref="J27">_xlfn.IFS(C27&lt;$M$36,"-",AND(ISEVEN($M$36),ISEVEN(C27),C27&lt;=$M$37),$M$33,AND(ISODD($M$36),ISODD(C27),C27&lt;=$M$37),$M$33,C27&lt;=$M$5,"-")</f>
        <v>-</v>
      </c>
      <c r="L27" s="2" t="s">
        <v>13</v>
      </c>
      <c r="M27" s="9">
        <v>25000</v>
      </c>
    </row>
    <row r="28" spans="3:13" x14ac:dyDescent="0.25">
      <c r="C28" s="4">
        <v>64</v>
      </c>
      <c r="D28" s="16" t="str" cm="1">
        <f t="array" ref="D28">_xlfn.IFS(OR(C28&lt;$M$36,AND(C28&gt;$M$37,C28&lt;=$M$5)),"-",C28&lt;=$M$36+(Annuity_Calc!$C$16),$M$9)</f>
        <v>-</v>
      </c>
      <c r="E28" s="16" t="str" cm="1">
        <f t="array" ref="E28">_xlfn.IFS(OR(C28&lt;$M$12,AND(C28&gt;$M$13,C28&lt;=$M$5)),"-",C28&lt;=$M$13,$M$14+(C28-$M$12)*$M$15)</f>
        <v>-</v>
      </c>
      <c r="F28" s="16" cm="1">
        <f t="array" ref="F28">_xlfn.IFS(C28&lt;$M$36,"-",C28&lt;=$M$5,$M$18)</f>
        <v>7200</v>
      </c>
      <c r="G28" s="16" cm="1">
        <f t="array" ref="G28">_xlfn.IFS(OR(C28&lt;$M$21,AND(C28&gt;$M$22,C28&lt;=$M$5)),"-",C28&lt;=$M$22,C28*$M$23)</f>
        <v>64000</v>
      </c>
      <c r="H28" s="16" t="str" cm="1">
        <f t="array" ref="H28">_xlfn.IFS(OR(C28&lt;$M$36,AND(C28&lt;=$M$5,C28&gt;$M$37)),"-",ROUNDUP(C28&lt;=(($M$37+$M$36)/2),0),$M$26,C28&lt;=$M$37,$M$27)</f>
        <v>-</v>
      </c>
      <c r="I28" s="16" t="str" cm="1">
        <f t="array" ref="I28">_xlfn.IFS(OR(AND(C28&lt;=$M$5,C28&gt;$M$37),C28&lt;$M$36),"-",C28&lt;=$M$37,$M$30/($M$37-$M$36+1))</f>
        <v>-</v>
      </c>
      <c r="J28" s="16" t="str" cm="1">
        <f t="array" ref="J28">_xlfn.IFS(C28&lt;$M$36,"-",AND(ISEVEN($M$36),ISEVEN(C28),C28&lt;=$M$37),$M$33,AND(ISODD($M$36),ISODD(C28),C28&lt;=$M$37),$M$33,C28&lt;=$M$5,"-")</f>
        <v>-</v>
      </c>
    </row>
    <row r="29" spans="3:13" x14ac:dyDescent="0.25">
      <c r="C29" s="4">
        <v>65</v>
      </c>
      <c r="D29" s="16" t="str" cm="1">
        <f t="array" ref="D29">_xlfn.IFS(OR(C29&lt;$M$36,AND(C29&gt;$M$37,C29&lt;=$M$5)),"-",C29&lt;=$M$36+(Annuity_Calc!$C$16),$M$9)</f>
        <v>-</v>
      </c>
      <c r="E29" s="16" cm="1">
        <f t="array" ref="E29">_xlfn.IFS(OR(C29&lt;$M$12,AND(C29&gt;$M$13,C29&lt;=$M$5)),"-",C29&lt;=$M$13,$M$14+(C29-$M$12)*$M$15)</f>
        <v>25000</v>
      </c>
      <c r="F29" s="16" cm="1">
        <f t="array" ref="F29">_xlfn.IFS(C29&lt;$M$36,"-",C29&lt;=$M$5,$M$18)</f>
        <v>7200</v>
      </c>
      <c r="G29" s="16" cm="1">
        <f t="array" ref="G29">_xlfn.IFS(OR(C29&lt;$M$21,AND(C29&gt;$M$22,C29&lt;=$M$5)),"-",C29&lt;=$M$22,C29*$M$23)</f>
        <v>65000</v>
      </c>
      <c r="H29" s="16" t="str" cm="1">
        <f t="array" ref="H29">_xlfn.IFS(OR(C29&lt;$M$36,AND(C29&lt;=$M$5,C29&gt;$M$37)),"-",ROUNDUP(C29&lt;=(($M$37+$M$36)/2),0),$M$26,C29&lt;=$M$37,$M$27)</f>
        <v>-</v>
      </c>
      <c r="I29" s="16" t="str" cm="1">
        <f t="array" ref="I29">_xlfn.IFS(OR(AND(C29&lt;=$M$5,C29&gt;$M$37),C29&lt;$M$36),"-",C29&lt;=$M$37,$M$30/($M$37-$M$36+1))</f>
        <v>-</v>
      </c>
      <c r="J29" s="16" t="str" cm="1">
        <f t="array" ref="J29">_xlfn.IFS(C29&lt;$M$36,"-",AND(ISEVEN($M$36),ISEVEN(C29),C29&lt;=$M$37),$M$33,AND(ISODD($M$36),ISODD(C29),C29&lt;=$M$37),$M$33,C29&lt;=$M$5,"-")</f>
        <v>-</v>
      </c>
      <c r="L29" s="10" t="s">
        <v>20</v>
      </c>
    </row>
    <row r="30" spans="3:13" x14ac:dyDescent="0.25">
      <c r="C30" s="4">
        <v>66</v>
      </c>
      <c r="D30" s="16" t="str" cm="1">
        <f t="array" ref="D30">_xlfn.IFS(OR(C30&lt;$M$36,AND(C30&gt;$M$37,C30&lt;=$M$5)),"-",C30&lt;=$M$36+(Annuity_Calc!$C$16),$M$9)</f>
        <v>-</v>
      </c>
      <c r="E30" s="16" cm="1">
        <f t="array" ref="E30">_xlfn.IFS(OR(C30&lt;$M$12,AND(C30&gt;$M$13,C30&lt;=$M$5)),"-",C30&lt;=$M$13,$M$14+(C30-$M$12)*$M$15)</f>
        <v>26000</v>
      </c>
      <c r="F30" s="16" cm="1">
        <f t="array" ref="F30">_xlfn.IFS(C30&lt;$M$36,"-",C30&lt;=$M$5,$M$18)</f>
        <v>7200</v>
      </c>
      <c r="G30" s="16" cm="1">
        <f t="array" ref="G30">_xlfn.IFS(OR(C30&lt;$M$21,AND(C30&gt;$M$22,C30&lt;=$M$5)),"-",C30&lt;=$M$22,C30*$M$23)</f>
        <v>66000</v>
      </c>
      <c r="H30" s="16" t="str" cm="1">
        <f t="array" ref="H30">_xlfn.IFS(OR(C30&lt;$M$36,AND(C30&lt;=$M$5,C30&gt;$M$37)),"-",ROUNDUP(C30&lt;=(($M$37+$M$36)/2),0),$M$26,C30&lt;=$M$37,$M$27)</f>
        <v>-</v>
      </c>
      <c r="I30" s="16" t="str" cm="1">
        <f t="array" ref="I30">_xlfn.IFS(OR(AND(C30&lt;=$M$5,C30&gt;$M$37),C30&lt;$M$36),"-",C30&lt;=$M$37,$M$30/($M$37-$M$36+1))</f>
        <v>-</v>
      </c>
      <c r="J30" s="16" t="str" cm="1">
        <f t="array" ref="J30">_xlfn.IFS(C30&lt;$M$36,"-",AND(ISEVEN($M$36),ISEVEN(C30),C30&lt;=$M$37),$M$33,AND(ISODD($M$36),ISODD(C30),C30&lt;=$M$37),$M$33,C30&lt;=$M$5,"-")</f>
        <v>-</v>
      </c>
      <c r="L30" s="2" t="s">
        <v>15</v>
      </c>
      <c r="M30" s="9">
        <v>100000</v>
      </c>
    </row>
    <row r="31" spans="3:13" x14ac:dyDescent="0.25">
      <c r="C31" s="4">
        <v>67</v>
      </c>
      <c r="D31" s="16" t="str" cm="1">
        <f t="array" ref="D31">_xlfn.IFS(OR(C31&lt;$M$36,AND(C31&gt;$M$37,C31&lt;=$M$5)),"-",C31&lt;=$M$36+(Annuity_Calc!$C$16),$M$9)</f>
        <v>-</v>
      </c>
      <c r="E31" s="16" cm="1">
        <f t="array" ref="E31">_xlfn.IFS(OR(C31&lt;$M$12,AND(C31&gt;$M$13,C31&lt;=$M$5)),"-",C31&lt;=$M$13,$M$14+(C31-$M$12)*$M$15)</f>
        <v>27000</v>
      </c>
      <c r="F31" s="16" cm="1">
        <f t="array" ref="F31">_xlfn.IFS(C31&lt;$M$36,"-",C31&lt;=$M$5,$M$18)</f>
        <v>7200</v>
      </c>
      <c r="G31" s="16" cm="1">
        <f t="array" ref="G31">_xlfn.IFS(OR(C31&lt;$M$21,AND(C31&gt;$M$22,C31&lt;=$M$5)),"-",C31&lt;=$M$22,C31*$M$23)</f>
        <v>67000</v>
      </c>
      <c r="H31" s="16" t="str" cm="1">
        <f t="array" ref="H31">_xlfn.IFS(OR(C31&lt;$M$36,AND(C31&lt;=$M$5,C31&gt;$M$37)),"-",ROUNDUP(C31&lt;=(($M$37+$M$36)/2),0),$M$26,C31&lt;=$M$37,$M$27)</f>
        <v>-</v>
      </c>
      <c r="I31" s="16" t="str" cm="1">
        <f t="array" ref="I31">_xlfn.IFS(OR(AND(C31&lt;=$M$5,C31&gt;$M$37),C31&lt;$M$36),"-",C31&lt;=$M$37,$M$30/($M$37-$M$36+1))</f>
        <v>-</v>
      </c>
      <c r="J31" s="16" t="str" cm="1">
        <f t="array" ref="J31">_xlfn.IFS(C31&lt;$M$36,"-",AND(ISEVEN($M$36),ISEVEN(C31),C31&lt;=$M$37),$M$33,AND(ISODD($M$36),ISODD(C31),C31&lt;=$M$37),$M$33,C31&lt;=$M$5,"-")</f>
        <v>-</v>
      </c>
    </row>
    <row r="32" spans="3:13" x14ac:dyDescent="0.25">
      <c r="C32" s="4">
        <v>68</v>
      </c>
      <c r="D32" s="16" t="str" cm="1">
        <f t="array" ref="D32">_xlfn.IFS(OR(C32&lt;$M$36,AND(C32&gt;$M$37,C32&lt;=$M$5)),"-",C32&lt;=$M$36+(Annuity_Calc!$C$16),$M$9)</f>
        <v>-</v>
      </c>
      <c r="E32" s="16" cm="1">
        <f t="array" ref="E32">_xlfn.IFS(OR(C32&lt;$M$12,AND(C32&gt;$M$13,C32&lt;=$M$5)),"-",C32&lt;=$M$13,$M$14+(C32-$M$12)*$M$15)</f>
        <v>28000</v>
      </c>
      <c r="F32" s="16" cm="1">
        <f t="array" ref="F32">_xlfn.IFS(C32&lt;$M$36,"-",C32&lt;=$M$5,$M$18)</f>
        <v>7200</v>
      </c>
      <c r="G32" s="16" cm="1">
        <f t="array" ref="G32">_xlfn.IFS(OR(C32&lt;$M$21,AND(C32&gt;$M$22,C32&lt;=$M$5)),"-",C32&lt;=$M$22,C32*$M$23)</f>
        <v>68000</v>
      </c>
      <c r="H32" s="16" t="str" cm="1">
        <f t="array" ref="H32">_xlfn.IFS(OR(C32&lt;$M$36,AND(C32&lt;=$M$5,C32&gt;$M$37)),"-",ROUNDUP(C32&lt;=(($M$37+$M$36)/2),0),$M$26,C32&lt;=$M$37,$M$27)</f>
        <v>-</v>
      </c>
      <c r="I32" s="16" t="str" cm="1">
        <f t="array" ref="I32">_xlfn.IFS(OR(AND(C32&lt;=$M$5,C32&gt;$M$37),C32&lt;$M$36),"-",C32&lt;=$M$37,$M$30/($M$37-$M$36+1))</f>
        <v>-</v>
      </c>
      <c r="J32" s="16" t="str" cm="1">
        <f t="array" ref="J32">_xlfn.IFS(C32&lt;$M$36,"-",AND(ISEVEN($M$36),ISEVEN(C32),C32&lt;=$M$37),$M$33,AND(ISODD($M$36),ISODD(C32),C32&lt;=$M$37),$M$33,C32&lt;=$M$5,"-")</f>
        <v>-</v>
      </c>
      <c r="L32" s="10" t="s">
        <v>21</v>
      </c>
    </row>
    <row r="33" spans="3:13" x14ac:dyDescent="0.25">
      <c r="C33" s="4">
        <v>69</v>
      </c>
      <c r="D33" s="16" t="str" cm="1">
        <f t="array" ref="D33">_xlfn.IFS(OR(C33&lt;$M$36,AND(C33&gt;$M$37,C33&lt;=$M$5)),"-",C33&lt;=$M$36+(Annuity_Calc!$C$16),$M$9)</f>
        <v>-</v>
      </c>
      <c r="E33" s="16" cm="1">
        <f t="array" ref="E33">_xlfn.IFS(OR(C33&lt;$M$12,AND(C33&gt;$M$13,C33&lt;=$M$5)),"-",C33&lt;=$M$13,$M$14+(C33-$M$12)*$M$15)</f>
        <v>29000</v>
      </c>
      <c r="F33" s="16" cm="1">
        <f t="array" ref="F33">_xlfn.IFS(C33&lt;$M$36,"-",C33&lt;=$M$5,$M$18)</f>
        <v>7200</v>
      </c>
      <c r="G33" s="16" cm="1">
        <f t="array" ref="G33">_xlfn.IFS(OR(C33&lt;$M$21,AND(C33&gt;$M$22,C33&lt;=$M$5)),"-",C33&lt;=$M$22,C33*$M$23)</f>
        <v>69000</v>
      </c>
      <c r="H33" s="16" t="str" cm="1">
        <f t="array" ref="H33">_xlfn.IFS(OR(C33&lt;$M$36,AND(C33&lt;=$M$5,C33&gt;$M$37)),"-",ROUNDUP(C33&lt;=(($M$37+$M$36)/2),0),$M$26,C33&lt;=$M$37,$M$27)</f>
        <v>-</v>
      </c>
      <c r="I33" s="16" t="str" cm="1">
        <f t="array" ref="I33">_xlfn.IFS(OR(AND(C33&lt;=$M$5,C33&gt;$M$37),C33&lt;$M$36),"-",C33&lt;=$M$37,$M$30/($M$37-$M$36+1))</f>
        <v>-</v>
      </c>
      <c r="J33" s="16" t="str" cm="1">
        <f t="array" ref="J33">_xlfn.IFS(C33&lt;$M$36,"-",AND(ISEVEN($M$36),ISEVEN(C33),C33&lt;=$M$37),$M$33,AND(ISODD($M$36),ISODD(C33),C33&lt;=$M$37),$M$33,C33&lt;=$M$5,"-")</f>
        <v>-</v>
      </c>
      <c r="L33" s="2" t="s">
        <v>10</v>
      </c>
      <c r="M33" s="9">
        <v>30000</v>
      </c>
    </row>
    <row r="34" spans="3:13" x14ac:dyDescent="0.25">
      <c r="C34" s="4">
        <v>70</v>
      </c>
      <c r="D34" s="16" t="str" cm="1">
        <f t="array" ref="D34">_xlfn.IFS(OR(C34&lt;$M$36,AND(C34&gt;$M$37,C34&lt;=$M$5)),"-",C34&lt;=$M$36+(Annuity_Calc!$C$16),$M$9)</f>
        <v>-</v>
      </c>
      <c r="E34" s="16" cm="1">
        <f t="array" ref="E34">_xlfn.IFS(OR(C34&lt;$M$12,AND(C34&gt;$M$13,C34&lt;=$M$5)),"-",C34&lt;=$M$13,$M$14+(C34-$M$12)*$M$15)</f>
        <v>30000</v>
      </c>
      <c r="F34" s="16" cm="1">
        <f t="array" ref="F34">_xlfn.IFS(C34&lt;$M$36,"-",C34&lt;=$M$5,$M$18)</f>
        <v>7200</v>
      </c>
      <c r="G34" s="16" cm="1">
        <f t="array" ref="G34">_xlfn.IFS(OR(C34&lt;$M$21,AND(C34&gt;$M$22,C34&lt;=$M$5)),"-",C34&lt;=$M$22,C34*$M$23)</f>
        <v>70000</v>
      </c>
      <c r="H34" s="16" t="str" cm="1">
        <f t="array" ref="H34">_xlfn.IFS(OR(C34&lt;$M$36,AND(C34&lt;=$M$5,C34&gt;$M$37)),"-",ROUNDUP(C34&lt;=(($M$37+$M$36)/2),0),$M$26,C34&lt;=$M$37,$M$27)</f>
        <v>-</v>
      </c>
      <c r="I34" s="16" t="str" cm="1">
        <f t="array" ref="I34">_xlfn.IFS(OR(AND(C34&lt;=$M$5,C34&gt;$M$37),C34&lt;$M$36),"-",C34&lt;=$M$37,$M$30/($M$37-$M$36+1))</f>
        <v>-</v>
      </c>
      <c r="J34" s="16" t="str" cm="1">
        <f t="array" ref="J34">_xlfn.IFS(C34&lt;$M$36,"-",AND(ISEVEN($M$36),ISEVEN(C34),C34&lt;=$M$37),$M$33,AND(ISODD($M$36),ISODD(C34),C34&lt;=$M$37),$M$33,C34&lt;=$M$5,"-")</f>
        <v>-</v>
      </c>
    </row>
    <row r="35" spans="3:13" x14ac:dyDescent="0.25">
      <c r="C35" s="4">
        <v>71</v>
      </c>
      <c r="D35" s="16" t="str" cm="1">
        <f t="array" ref="D35">_xlfn.IFS(OR(C35&lt;$M$36,AND(C35&gt;$M$37,C35&lt;=$M$5)),"-",C35&lt;=$M$36+(Annuity_Calc!$C$16),$M$9)</f>
        <v>-</v>
      </c>
      <c r="E35" s="16" cm="1">
        <f t="array" ref="E35">_xlfn.IFS(OR(C35&lt;$M$12,AND(C35&gt;$M$13,C35&lt;=$M$5)),"-",C35&lt;=$M$13,$M$14+(C35-$M$12)*$M$15)</f>
        <v>31000</v>
      </c>
      <c r="F35" s="16" cm="1">
        <f t="array" ref="F35">_xlfn.IFS(C35&lt;$M$36,"-",C35&lt;=$M$5,$M$18)</f>
        <v>7200</v>
      </c>
      <c r="G35" s="16" cm="1">
        <f t="array" ref="G35">_xlfn.IFS(OR(C35&lt;$M$21,AND(C35&gt;$M$22,C35&lt;=$M$5)),"-",C35&lt;=$M$22,C35*$M$23)</f>
        <v>71000</v>
      </c>
      <c r="H35" s="16" t="str" cm="1">
        <f t="array" ref="H35">_xlfn.IFS(OR(C35&lt;$M$36,AND(C35&lt;=$M$5,C35&gt;$M$37)),"-",ROUNDUP(C35&lt;=(($M$37+$M$36)/2),0),$M$26,C35&lt;=$M$37,$M$27)</f>
        <v>-</v>
      </c>
      <c r="I35" s="16" t="str" cm="1">
        <f t="array" ref="I35">_xlfn.IFS(OR(AND(C35&lt;=$M$5,C35&gt;$M$37),C35&lt;$M$36),"-",C35&lt;=$M$37,$M$30/($M$37-$M$36+1))</f>
        <v>-</v>
      </c>
      <c r="J35" s="16" t="str" cm="1">
        <f t="array" ref="J35">_xlfn.IFS(C35&lt;$M$36,"-",AND(ISEVEN($M$36),ISEVEN(C35),C35&lt;=$M$37),$M$33,AND(ISODD($M$36),ISODD(C35),C35&lt;=$M$37),$M$33,C35&lt;=$M$5,"-")</f>
        <v>-</v>
      </c>
      <c r="L35" s="10" t="s">
        <v>7</v>
      </c>
    </row>
    <row r="36" spans="3:13" x14ac:dyDescent="0.25">
      <c r="C36" s="4">
        <v>72</v>
      </c>
      <c r="D36" s="16" t="str" cm="1">
        <f t="array" ref="D36">_xlfn.IFS(OR(C36&lt;$M$36,AND(C36&gt;$M$37,C36&lt;=$M$5)),"-",C36&lt;=$M$36+(Annuity_Calc!$C$16),$M$9)</f>
        <v>-</v>
      </c>
      <c r="E36" s="16" cm="1">
        <f t="array" ref="E36">_xlfn.IFS(OR(C36&lt;$M$12,AND(C36&gt;$M$13,C36&lt;=$M$5)),"-",C36&lt;=$M$13,$M$14+(C36-$M$12)*$M$15)</f>
        <v>32000</v>
      </c>
      <c r="F36" s="16" cm="1">
        <f t="array" ref="F36">_xlfn.IFS(C36&lt;$M$36,"-",C36&lt;=$M$5,$M$18)</f>
        <v>7200</v>
      </c>
      <c r="G36" s="16" cm="1">
        <f t="array" ref="G36">_xlfn.IFS(OR(C36&lt;$M$21,AND(C36&gt;$M$22,C36&lt;=$M$5)),"-",C36&lt;=$M$22,C36*$M$23)</f>
        <v>72000</v>
      </c>
      <c r="H36" s="16" t="str" cm="1">
        <f t="array" ref="H36">_xlfn.IFS(OR(C36&lt;$M$36,AND(C36&lt;=$M$5,C36&gt;$M$37)),"-",ROUNDUP(C36&lt;=(($M$37+$M$36)/2),0),$M$26,C36&lt;=$M$37,$M$27)</f>
        <v>-</v>
      </c>
      <c r="I36" s="16" t="str" cm="1">
        <f t="array" ref="I36">_xlfn.IFS(OR(AND(C36&lt;=$M$5,C36&gt;$M$37),C36&lt;$M$36),"-",C36&lt;=$M$37,$M$30/($M$37-$M$36+1))</f>
        <v>-</v>
      </c>
      <c r="J36" s="16" t="str" cm="1">
        <f t="array" ref="J36">_xlfn.IFS(C36&lt;$M$36,"-",AND(ISEVEN($M$36),ISEVEN(C36),C36&lt;=$M$37),$M$33,AND(ISODD($M$36),ISODD(C36),C36&lt;=$M$37),$M$33,C36&lt;=$M$5,"-")</f>
        <v>-</v>
      </c>
      <c r="L36" s="2" t="s">
        <v>6</v>
      </c>
      <c r="M36" s="8">
        <f>Annuity_Calc!$C$13</f>
        <v>0</v>
      </c>
    </row>
    <row r="37" spans="3:13" x14ac:dyDescent="0.25">
      <c r="C37" s="4">
        <v>73</v>
      </c>
      <c r="D37" s="16" t="str" cm="1">
        <f t="array" ref="D37">_xlfn.IFS(OR(C37&lt;$M$36,AND(C37&gt;$M$37,C37&lt;=$M$5)),"-",C37&lt;=$M$36+(Annuity_Calc!$C$16),$M$9)</f>
        <v>-</v>
      </c>
      <c r="E37" s="16" cm="1">
        <f t="array" ref="E37">_xlfn.IFS(OR(C37&lt;$M$12,AND(C37&gt;$M$13,C37&lt;=$M$5)),"-",C37&lt;=$M$13,$M$14+(C37-$M$12)*$M$15)</f>
        <v>33000</v>
      </c>
      <c r="F37" s="16" cm="1">
        <f t="array" ref="F37">_xlfn.IFS(C37&lt;$M$36,"-",C37&lt;=$M$5,$M$18)</f>
        <v>7200</v>
      </c>
      <c r="G37" s="16" cm="1">
        <f t="array" ref="G37">_xlfn.IFS(OR(C37&lt;$M$21,AND(C37&gt;$M$22,C37&lt;=$M$5)),"-",C37&lt;=$M$22,C37*$M$23)</f>
        <v>73000</v>
      </c>
      <c r="H37" s="16" t="str" cm="1">
        <f t="array" ref="H37">_xlfn.IFS(OR(C37&lt;$M$36,AND(C37&lt;=$M$5,C37&gt;$M$37)),"-",ROUNDUP(C37&lt;=(($M$37+$M$36)/2),0),$M$26,C37&lt;=$M$37,$M$27)</f>
        <v>-</v>
      </c>
      <c r="I37" s="16" t="str" cm="1">
        <f t="array" ref="I37">_xlfn.IFS(OR(AND(C37&lt;=$M$5,C37&gt;$M$37),C37&lt;$M$36),"-",C37&lt;=$M$37,$M$30/($M$37-$M$36+1))</f>
        <v>-</v>
      </c>
      <c r="J37" s="16" t="str" cm="1">
        <f t="array" ref="J37">_xlfn.IFS(C37&lt;$M$36,"-",AND(ISEVEN($M$36),ISEVEN(C37),C37&lt;=$M$37),$M$33,AND(ISODD($M$36),ISODD(C37),C37&lt;=$M$37),$M$33,C37&lt;=$M$5,"-")</f>
        <v>-</v>
      </c>
      <c r="L37" s="2" t="s">
        <v>9</v>
      </c>
      <c r="M37" s="8">
        <f>IF($M$36+Annuity_Calc!$C$16&gt;$M$5,$M$5,$M$36+Annuity_Calc!$C$16)</f>
        <v>0</v>
      </c>
    </row>
    <row r="38" spans="3:13" x14ac:dyDescent="0.25">
      <c r="C38" s="4">
        <v>74</v>
      </c>
      <c r="D38" s="16" t="str" cm="1">
        <f t="array" ref="D38">_xlfn.IFS(OR(C38&lt;$M$36,AND(C38&gt;$M$37,C38&lt;=$M$5)),"-",C38&lt;=$M$36+(Annuity_Calc!$C$16),$M$9)</f>
        <v>-</v>
      </c>
      <c r="E38" s="16" cm="1">
        <f t="array" ref="E38">_xlfn.IFS(OR(C38&lt;$M$12,AND(C38&gt;$M$13,C38&lt;=$M$5)),"-",C38&lt;=$M$13,$M$14+(C38-$M$12)*$M$15)</f>
        <v>34000</v>
      </c>
      <c r="F38" s="16" cm="1">
        <f t="array" ref="F38">_xlfn.IFS(C38&lt;$M$36,"-",C38&lt;=$M$5,$M$18)</f>
        <v>7200</v>
      </c>
      <c r="G38" s="16" cm="1">
        <f t="array" ref="G38">_xlfn.IFS(OR(C38&lt;$M$21,AND(C38&gt;$M$22,C38&lt;=$M$5)),"-",C38&lt;=$M$22,C38*$M$23)</f>
        <v>74000</v>
      </c>
      <c r="H38" s="16" t="str" cm="1">
        <f t="array" ref="H38">_xlfn.IFS(OR(C38&lt;$M$36,AND(C38&lt;=$M$5,C38&gt;$M$37)),"-",ROUNDUP(C38&lt;=(($M$37+$M$36)/2),0),$M$26,C38&lt;=$M$37,$M$27)</f>
        <v>-</v>
      </c>
      <c r="I38" s="16" t="str" cm="1">
        <f t="array" ref="I38">_xlfn.IFS(OR(AND(C38&lt;=$M$5,C38&gt;$M$37),C38&lt;$M$36),"-",C38&lt;=$M$37,$M$30/($M$37-$M$36+1))</f>
        <v>-</v>
      </c>
      <c r="J38" s="16" t="str" cm="1">
        <f t="array" ref="J38">_xlfn.IFS(C38&lt;$M$36,"-",AND(ISEVEN($M$36),ISEVEN(C38),C38&lt;=$M$37),$M$33,AND(ISODD($M$36),ISODD(C38),C38&lt;=$M$37),$M$33,C38&lt;=$M$5,"-")</f>
        <v>-</v>
      </c>
    </row>
    <row r="39" spans="3:13" x14ac:dyDescent="0.25">
      <c r="C39" s="4">
        <v>75</v>
      </c>
      <c r="D39" s="16" t="str" cm="1">
        <f t="array" ref="D39">_xlfn.IFS(OR(C39&lt;$M$36,AND(C39&gt;$M$37,C39&lt;=$M$5)),"-",C39&lt;=$M$36+(Annuity_Calc!$C$16),$M$9)</f>
        <v>-</v>
      </c>
      <c r="E39" s="16" cm="1">
        <f t="array" ref="E39">_xlfn.IFS(OR(C39&lt;$M$12,AND(C39&gt;$M$13,C39&lt;=$M$5)),"-",C39&lt;=$M$13,$M$14+(C39-$M$12)*$M$15)</f>
        <v>35000</v>
      </c>
      <c r="F39" s="16" cm="1">
        <f t="array" ref="F39">_xlfn.IFS(C39&lt;$M$36,"-",C39&lt;=$M$5,$M$18)</f>
        <v>7200</v>
      </c>
      <c r="G39" s="16" cm="1">
        <f t="array" ref="G39">_xlfn.IFS(OR(C39&lt;$M$21,AND(C39&gt;$M$22,C39&lt;=$M$5)),"-",C39&lt;=$M$22,C39*$M$23)</f>
        <v>75000</v>
      </c>
      <c r="H39" s="16" t="str" cm="1">
        <f t="array" ref="H39">_xlfn.IFS(OR(C39&lt;$M$36,AND(C39&lt;=$M$5,C39&gt;$M$37)),"-",ROUNDUP(C39&lt;=(($M$37+$M$36)/2),0),$M$26,C39&lt;=$M$37,$M$27)</f>
        <v>-</v>
      </c>
      <c r="I39" s="16" t="str" cm="1">
        <f t="array" ref="I39">_xlfn.IFS(OR(AND(C39&lt;=$M$5,C39&gt;$M$37),C39&lt;$M$36),"-",C39&lt;=$M$37,$M$30/($M$37-$M$36+1))</f>
        <v>-</v>
      </c>
      <c r="J39" s="16" t="str" cm="1">
        <f t="array" ref="J39">_xlfn.IFS(C39&lt;$M$36,"-",AND(ISEVEN($M$36),ISEVEN(C39),C39&lt;=$M$37),$M$33,AND(ISODD($M$36),ISODD(C39),C39&lt;=$M$37),$M$33,C39&lt;=$M$5,"-")</f>
        <v>-</v>
      </c>
    </row>
    <row r="40" spans="3:13" x14ac:dyDescent="0.25">
      <c r="C40" s="4">
        <v>76</v>
      </c>
      <c r="D40" s="16" t="str" cm="1">
        <f t="array" ref="D40">_xlfn.IFS(OR(C40&lt;$M$36,AND(C40&gt;$M$37,C40&lt;=$M$5)),"-",C40&lt;=$M$36+(Annuity_Calc!$C$16),$M$9)</f>
        <v>-</v>
      </c>
      <c r="E40" s="16" cm="1">
        <f t="array" ref="E40">_xlfn.IFS(OR(C40&lt;$M$12,AND(C40&gt;$M$13,C40&lt;=$M$5)),"-",C40&lt;=$M$13,$M$14+(C40-$M$12)*$M$15)</f>
        <v>36000</v>
      </c>
      <c r="F40" s="16" cm="1">
        <f t="array" ref="F40">_xlfn.IFS(C40&lt;$M$36,"-",C40&lt;=$M$5,$M$18)</f>
        <v>7200</v>
      </c>
      <c r="G40" s="16" cm="1">
        <f t="array" ref="G40">_xlfn.IFS(OR(C40&lt;$M$21,AND(C40&gt;$M$22,C40&lt;=$M$5)),"-",C40&lt;=$M$22,C40*$M$23)</f>
        <v>76000</v>
      </c>
      <c r="H40" s="16" t="str" cm="1">
        <f t="array" ref="H40">_xlfn.IFS(OR(C40&lt;$M$36,AND(C40&lt;=$M$5,C40&gt;$M$37)),"-",ROUNDUP(C40&lt;=(($M$37+$M$36)/2),0),$M$26,C40&lt;=$M$37,$M$27)</f>
        <v>-</v>
      </c>
      <c r="I40" s="16" t="str" cm="1">
        <f t="array" ref="I40">_xlfn.IFS(OR(AND(C40&lt;=$M$5,C40&gt;$M$37),C40&lt;$M$36),"-",C40&lt;=$M$37,$M$30/($M$37-$M$36+1))</f>
        <v>-</v>
      </c>
      <c r="J40" s="16" t="str" cm="1">
        <f t="array" ref="J40">_xlfn.IFS(C40&lt;$M$36,"-",AND(ISEVEN($M$36),ISEVEN(C40),C40&lt;=$M$37),$M$33,AND(ISODD($M$36),ISODD(C40),C40&lt;=$M$37),$M$33,C40&lt;=$M$5,"-")</f>
        <v>-</v>
      </c>
    </row>
    <row r="41" spans="3:13" x14ac:dyDescent="0.25">
      <c r="C41" s="4">
        <v>77</v>
      </c>
      <c r="D41" s="16" t="str" cm="1">
        <f t="array" ref="D41">_xlfn.IFS(OR(C41&lt;$M$36,AND(C41&gt;$M$37,C41&lt;=$M$5)),"-",C41&lt;=$M$36+(Annuity_Calc!$C$16),$M$9)</f>
        <v>-</v>
      </c>
      <c r="E41" s="16" cm="1">
        <f t="array" ref="E41">_xlfn.IFS(OR(C41&lt;$M$12,AND(C41&gt;$M$13,C41&lt;=$M$5)),"-",C41&lt;=$M$13,$M$14+(C41-$M$12)*$M$15)</f>
        <v>37000</v>
      </c>
      <c r="F41" s="16" cm="1">
        <f t="array" ref="F41">_xlfn.IFS(C41&lt;$M$36,"-",C41&lt;=$M$5,$M$18)</f>
        <v>7200</v>
      </c>
      <c r="G41" s="16" cm="1">
        <f t="array" ref="G41">_xlfn.IFS(OR(C41&lt;$M$21,AND(C41&gt;$M$22,C41&lt;=$M$5)),"-",C41&lt;=$M$22,C41*$M$23)</f>
        <v>77000</v>
      </c>
      <c r="H41" s="16" t="str" cm="1">
        <f t="array" ref="H41">_xlfn.IFS(OR(C41&lt;$M$36,AND(C41&lt;=$M$5,C41&gt;$M$37)),"-",ROUNDUP(C41&lt;=(($M$37+$M$36)/2),0),$M$26,C41&lt;=$M$37,$M$27)</f>
        <v>-</v>
      </c>
      <c r="I41" s="16" t="str" cm="1">
        <f t="array" ref="I41">_xlfn.IFS(OR(AND(C41&lt;=$M$5,C41&gt;$M$37),C41&lt;$M$36),"-",C41&lt;=$M$37,$M$30/($M$37-$M$36+1))</f>
        <v>-</v>
      </c>
      <c r="J41" s="16" t="str" cm="1">
        <f t="array" ref="J41">_xlfn.IFS(C41&lt;$M$36,"-",AND(ISEVEN($M$36),ISEVEN(C41),C41&lt;=$M$37),$M$33,AND(ISODD($M$36),ISODD(C41),C41&lt;=$M$37),$M$33,C41&lt;=$M$5,"-")</f>
        <v>-</v>
      </c>
    </row>
    <row r="42" spans="3:13" x14ac:dyDescent="0.25">
      <c r="C42" s="4">
        <v>78</v>
      </c>
      <c r="D42" s="16" t="str" cm="1">
        <f t="array" ref="D42">_xlfn.IFS(OR(C42&lt;$M$36,AND(C42&gt;$M$37,C42&lt;=$M$5)),"-",C42&lt;=$M$36+(Annuity_Calc!$C$16),$M$9)</f>
        <v>-</v>
      </c>
      <c r="E42" s="16" cm="1">
        <f t="array" ref="E42">_xlfn.IFS(OR(C42&lt;$M$12,AND(C42&gt;$M$13,C42&lt;=$M$5)),"-",C42&lt;=$M$13,$M$14+(C42-$M$12)*$M$15)</f>
        <v>38000</v>
      </c>
      <c r="F42" s="16" cm="1">
        <f t="array" ref="F42">_xlfn.IFS(C42&lt;$M$36,"-",C42&lt;=$M$5,$M$18)</f>
        <v>7200</v>
      </c>
      <c r="G42" s="16" cm="1">
        <f t="array" ref="G42">_xlfn.IFS(OR(C42&lt;$M$21,AND(C42&gt;$M$22,C42&lt;=$M$5)),"-",C42&lt;=$M$22,C42*$M$23)</f>
        <v>78000</v>
      </c>
      <c r="H42" s="16" t="str" cm="1">
        <f t="array" ref="H42">_xlfn.IFS(OR(C42&lt;$M$36,AND(C42&lt;=$M$5,C42&gt;$M$37)),"-",ROUNDUP(C42&lt;=(($M$37+$M$36)/2),0),$M$26,C42&lt;=$M$37,$M$27)</f>
        <v>-</v>
      </c>
      <c r="I42" s="16" t="str" cm="1">
        <f t="array" ref="I42">_xlfn.IFS(OR(AND(C42&lt;=$M$5,C42&gt;$M$37),C42&lt;$M$36),"-",C42&lt;=$M$37,$M$30/($M$37-$M$36+1))</f>
        <v>-</v>
      </c>
      <c r="J42" s="16" t="str" cm="1">
        <f t="array" ref="J42">_xlfn.IFS(C42&lt;$M$36,"-",AND(ISEVEN($M$36),ISEVEN(C42),C42&lt;=$M$37),$M$33,AND(ISODD($M$36),ISODD(C42),C42&lt;=$M$37),$M$33,C42&lt;=$M$5,"-")</f>
        <v>-</v>
      </c>
    </row>
    <row r="43" spans="3:13" x14ac:dyDescent="0.25">
      <c r="C43" s="4">
        <v>79</v>
      </c>
      <c r="D43" s="16" t="str" cm="1">
        <f t="array" ref="D43">_xlfn.IFS(OR(C43&lt;$M$36,AND(C43&gt;$M$37,C43&lt;=$M$5)),"-",C43&lt;=$M$36+(Annuity_Calc!$C$16),$M$9)</f>
        <v>-</v>
      </c>
      <c r="E43" s="16" cm="1">
        <f t="array" ref="E43">_xlfn.IFS(OR(C43&lt;$M$12,AND(C43&gt;$M$13,C43&lt;=$M$5)),"-",C43&lt;=$M$13,$M$14+(C43-$M$12)*$M$15)</f>
        <v>39000</v>
      </c>
      <c r="F43" s="16" cm="1">
        <f t="array" ref="F43">_xlfn.IFS(C43&lt;$M$36,"-",C43&lt;=$M$5,$M$18)</f>
        <v>7200</v>
      </c>
      <c r="G43" s="16" cm="1">
        <f t="array" ref="G43">_xlfn.IFS(OR(C43&lt;$M$21,AND(C43&gt;$M$22,C43&lt;=$M$5)),"-",C43&lt;=$M$22,C43*$M$23)</f>
        <v>79000</v>
      </c>
      <c r="H43" s="16" t="str" cm="1">
        <f t="array" ref="H43">_xlfn.IFS(OR(C43&lt;$M$36,AND(C43&lt;=$M$5,C43&gt;$M$37)),"-",ROUNDUP(C43&lt;=(($M$37+$M$36)/2),0),$M$26,C43&lt;=$M$37,$M$27)</f>
        <v>-</v>
      </c>
      <c r="I43" s="16" t="str" cm="1">
        <f t="array" ref="I43">_xlfn.IFS(OR(AND(C43&lt;=$M$5,C43&gt;$M$37),C43&lt;$M$36),"-",C43&lt;=$M$37,$M$30/($M$37-$M$36+1))</f>
        <v>-</v>
      </c>
      <c r="J43" s="16" t="str" cm="1">
        <f t="array" ref="J43">_xlfn.IFS(C43&lt;$M$36,"-",AND(ISEVEN($M$36),ISEVEN(C43),C43&lt;=$M$37),$M$33,AND(ISODD($M$36),ISODD(C43),C43&lt;=$M$37),$M$33,C43&lt;=$M$5,"-")</f>
        <v>-</v>
      </c>
    </row>
    <row r="44" spans="3:13" x14ac:dyDescent="0.25">
      <c r="C44" s="4">
        <v>80</v>
      </c>
      <c r="D44" s="16" t="str" cm="1">
        <f t="array" ref="D44">_xlfn.IFS(OR(C44&lt;$M$36,AND(C44&gt;$M$37,C44&lt;=$M$5)),"-",C44&lt;=$M$36+(Annuity_Calc!$C$16),$M$9)</f>
        <v>-</v>
      </c>
      <c r="E44" s="16" cm="1">
        <f t="array" ref="E44">_xlfn.IFS(OR(C44&lt;$M$12,AND(C44&gt;$M$13,C44&lt;=$M$5)),"-",C44&lt;=$M$13,$M$14+(C44-$M$12)*$M$15)</f>
        <v>40000</v>
      </c>
      <c r="F44" s="16" cm="1">
        <f t="array" ref="F44">_xlfn.IFS(C44&lt;$M$36,"-",C44&lt;=$M$5,$M$18)</f>
        <v>7200</v>
      </c>
      <c r="G44" s="16" cm="1">
        <f t="array" ref="G44">_xlfn.IFS(OR(C44&lt;$M$21,AND(C44&gt;$M$22,C44&lt;=$M$5)),"-",C44&lt;=$M$22,C44*$M$23)</f>
        <v>80000</v>
      </c>
      <c r="H44" s="16" t="str" cm="1">
        <f t="array" ref="H44">_xlfn.IFS(OR(C44&lt;$M$36,AND(C44&lt;=$M$5,C44&gt;$M$37)),"-",ROUNDUP(C44&lt;=(($M$37+$M$36)/2),0),$M$26,C44&lt;=$M$37,$M$27)</f>
        <v>-</v>
      </c>
      <c r="I44" s="16" t="str" cm="1">
        <f t="array" ref="I44">_xlfn.IFS(OR(AND(C44&lt;=$M$5,C44&gt;$M$37),C44&lt;$M$36),"-",C44&lt;=$M$37,$M$30/($M$37-$M$36+1))</f>
        <v>-</v>
      </c>
      <c r="J44" s="16" t="str" cm="1">
        <f t="array" ref="J44">_xlfn.IFS(C44&lt;$M$36,"-",AND(ISEVEN($M$36),ISEVEN(C44),C44&lt;=$M$37),$M$33,AND(ISODD($M$36),ISODD(C44),C44&lt;=$M$37),$M$33,C44&lt;=$M$5,"-")</f>
        <v>-</v>
      </c>
    </row>
    <row r="45" spans="3:13" x14ac:dyDescent="0.25">
      <c r="C45" s="4">
        <v>81</v>
      </c>
      <c r="D45" s="16" t="str" cm="1">
        <f t="array" ref="D45">_xlfn.IFS(OR(C45&lt;$M$36,AND(C45&gt;$M$37,C45&lt;=$M$5)),"-",C45&lt;=$M$36+(Annuity_Calc!$C$16),$M$9)</f>
        <v>-</v>
      </c>
      <c r="E45" s="16" cm="1">
        <f t="array" ref="E45">_xlfn.IFS(OR(C45&lt;$M$12,AND(C45&gt;$M$13,C45&lt;=$M$5)),"-",C45&lt;=$M$13,$M$14+(C45-$M$12)*$M$15)</f>
        <v>41000</v>
      </c>
      <c r="F45" s="16" cm="1">
        <f t="array" ref="F45">_xlfn.IFS(C45&lt;$M$36,"-",C45&lt;=$M$5,$M$18)</f>
        <v>7200</v>
      </c>
      <c r="G45" s="16" cm="1">
        <f t="array" ref="G45">_xlfn.IFS(OR(C45&lt;$M$21,AND(C45&gt;$M$22,C45&lt;=$M$5)),"-",C45&lt;=$M$22,C45*$M$23)</f>
        <v>81000</v>
      </c>
      <c r="H45" s="16" t="str" cm="1">
        <f t="array" ref="H45">_xlfn.IFS(OR(C45&lt;$M$36,AND(C45&lt;=$M$5,C45&gt;$M$37)),"-",ROUNDUP(C45&lt;=(($M$37+$M$36)/2),0),$M$26,C45&lt;=$M$37,$M$27)</f>
        <v>-</v>
      </c>
      <c r="I45" s="16" t="str" cm="1">
        <f t="array" ref="I45">_xlfn.IFS(OR(AND(C45&lt;=$M$5,C45&gt;$M$37),C45&lt;$M$36),"-",C45&lt;=$M$37,$M$30/($M$37-$M$36+1))</f>
        <v>-</v>
      </c>
      <c r="J45" s="16" t="str" cm="1">
        <f t="array" ref="J45">_xlfn.IFS(C45&lt;$M$36,"-",AND(ISEVEN($M$36),ISEVEN(C45),C45&lt;=$M$37),$M$33,AND(ISODD($M$36),ISODD(C45),C45&lt;=$M$37),$M$33,C45&lt;=$M$5,"-")</f>
        <v>-</v>
      </c>
    </row>
    <row r="46" spans="3:13" x14ac:dyDescent="0.25">
      <c r="C46" s="4">
        <v>82</v>
      </c>
      <c r="D46" s="16" t="str" cm="1">
        <f t="array" ref="D46">_xlfn.IFS(OR(C46&lt;$M$36,AND(C46&gt;$M$37,C46&lt;=$M$5)),"-",C46&lt;=$M$36+(Annuity_Calc!$C$16),$M$9)</f>
        <v>-</v>
      </c>
      <c r="E46" s="16" cm="1">
        <f t="array" ref="E46">_xlfn.IFS(OR(C46&lt;$M$12,AND(C46&gt;$M$13,C46&lt;=$M$5)),"-",C46&lt;=$M$13,$M$14+(C46-$M$12)*$M$15)</f>
        <v>42000</v>
      </c>
      <c r="F46" s="16" cm="1">
        <f t="array" ref="F46">_xlfn.IFS(C46&lt;$M$36,"-",C46&lt;=$M$5,$M$18)</f>
        <v>7200</v>
      </c>
      <c r="G46" s="16" cm="1">
        <f t="array" ref="G46">_xlfn.IFS(OR(C46&lt;$M$21,AND(C46&gt;$M$22,C46&lt;=$M$5)),"-",C46&lt;=$M$22,C46*$M$23)</f>
        <v>82000</v>
      </c>
      <c r="H46" s="16" t="str" cm="1">
        <f t="array" ref="H46">_xlfn.IFS(OR(C46&lt;$M$36,AND(C46&lt;=$M$5,C46&gt;$M$37)),"-",ROUNDUP(C46&lt;=(($M$37+$M$36)/2),0),$M$26,C46&lt;=$M$37,$M$27)</f>
        <v>-</v>
      </c>
      <c r="I46" s="16" t="str" cm="1">
        <f t="array" ref="I46">_xlfn.IFS(OR(AND(C46&lt;=$M$5,C46&gt;$M$37),C46&lt;$M$36),"-",C46&lt;=$M$37,$M$30/($M$37-$M$36+1))</f>
        <v>-</v>
      </c>
      <c r="J46" s="16" t="str" cm="1">
        <f t="array" ref="J46">_xlfn.IFS(C46&lt;$M$36,"-",AND(ISEVEN($M$36),ISEVEN(C46),C46&lt;=$M$37),$M$33,AND(ISODD($M$36),ISODD(C46),C46&lt;=$M$37),$M$33,C46&lt;=$M$5,"-")</f>
        <v>-</v>
      </c>
    </row>
    <row r="47" spans="3:13" x14ac:dyDescent="0.25">
      <c r="C47" s="4">
        <v>83</v>
      </c>
      <c r="D47" s="16" t="str" cm="1">
        <f t="array" ref="D47">_xlfn.IFS(OR(C47&lt;$M$36,AND(C47&gt;$M$37,C47&lt;=$M$5)),"-",C47&lt;=$M$36+(Annuity_Calc!$C$16),$M$9)</f>
        <v>-</v>
      </c>
      <c r="E47" s="16" cm="1">
        <f t="array" ref="E47">_xlfn.IFS(OR(C47&lt;$M$12,AND(C47&gt;$M$13,C47&lt;=$M$5)),"-",C47&lt;=$M$13,$M$14+(C47-$M$12)*$M$15)</f>
        <v>43000</v>
      </c>
      <c r="F47" s="16" cm="1">
        <f t="array" ref="F47">_xlfn.IFS(C47&lt;$M$36,"-",C47&lt;=$M$5,$M$18)</f>
        <v>7200</v>
      </c>
      <c r="G47" s="16" cm="1">
        <f t="array" ref="G47">_xlfn.IFS(OR(C47&lt;$M$21,AND(C47&gt;$M$22,C47&lt;=$M$5)),"-",C47&lt;=$M$22,C47*$M$23)</f>
        <v>83000</v>
      </c>
      <c r="H47" s="16" t="str" cm="1">
        <f t="array" ref="H47">_xlfn.IFS(OR(C47&lt;$M$36,AND(C47&lt;=$M$5,C47&gt;$M$37)),"-",ROUNDUP(C47&lt;=(($M$37+$M$36)/2),0),$M$26,C47&lt;=$M$37,$M$27)</f>
        <v>-</v>
      </c>
      <c r="I47" s="16" t="str" cm="1">
        <f t="array" ref="I47">_xlfn.IFS(OR(AND(C47&lt;=$M$5,C47&gt;$M$37),C47&lt;$M$36),"-",C47&lt;=$M$37,$M$30/($M$37-$M$36+1))</f>
        <v>-</v>
      </c>
      <c r="J47" s="16" t="str" cm="1">
        <f t="array" ref="J47">_xlfn.IFS(C47&lt;$M$36,"-",AND(ISEVEN($M$36),ISEVEN(C47),C47&lt;=$M$37),$M$33,AND(ISODD($M$36),ISODD(C47),C47&lt;=$M$37),$M$33,C47&lt;=$M$5,"-")</f>
        <v>-</v>
      </c>
    </row>
    <row r="48" spans="3:13" x14ac:dyDescent="0.25">
      <c r="C48" s="4">
        <v>84</v>
      </c>
      <c r="D48" s="16" t="str" cm="1">
        <f t="array" ref="D48">_xlfn.IFS(OR(C48&lt;$M$36,AND(C48&gt;$M$37,C48&lt;=$M$5)),"-",C48&lt;=$M$36+(Annuity_Calc!$C$16),$M$9)</f>
        <v>-</v>
      </c>
      <c r="E48" s="16" cm="1">
        <f t="array" ref="E48">_xlfn.IFS(OR(C48&lt;$M$12,AND(C48&gt;$M$13,C48&lt;=$M$5)),"-",C48&lt;=$M$13,$M$14+(C48-$M$12)*$M$15)</f>
        <v>44000</v>
      </c>
      <c r="F48" s="16" cm="1">
        <f t="array" ref="F48">_xlfn.IFS(C48&lt;$M$36,"-",C48&lt;=$M$5,$M$18)</f>
        <v>7200</v>
      </c>
      <c r="G48" s="16" cm="1">
        <f t="array" ref="G48">_xlfn.IFS(OR(C48&lt;$M$21,AND(C48&gt;$M$22,C48&lt;=$M$5)),"-",C48&lt;=$M$22,C48*$M$23)</f>
        <v>84000</v>
      </c>
      <c r="H48" s="16" t="str" cm="1">
        <f t="array" ref="H48">_xlfn.IFS(OR(C48&lt;$M$36,AND(C48&lt;=$M$5,C48&gt;$M$37)),"-",ROUNDUP(C48&lt;=(($M$37+$M$36)/2),0),$M$26,C48&lt;=$M$37,$M$27)</f>
        <v>-</v>
      </c>
      <c r="I48" s="16" t="str" cm="1">
        <f t="array" ref="I48">_xlfn.IFS(OR(AND(C48&lt;=$M$5,C48&gt;$M$37),C48&lt;$M$36),"-",C48&lt;=$M$37,$M$30/($M$37-$M$36+1))</f>
        <v>-</v>
      </c>
      <c r="J48" s="16" t="str" cm="1">
        <f t="array" ref="J48">_xlfn.IFS(C48&lt;$M$36,"-",AND(ISEVEN($M$36),ISEVEN(C48),C48&lt;=$M$37),$M$33,AND(ISODD($M$36),ISODD(C48),C48&lt;=$M$37),$M$33,C48&lt;=$M$5,"-")</f>
        <v>-</v>
      </c>
    </row>
    <row r="49" spans="3:10" x14ac:dyDescent="0.25">
      <c r="C49" s="4">
        <v>85</v>
      </c>
      <c r="D49" s="16" t="str" cm="1">
        <f t="array" ref="D49">_xlfn.IFS(OR(C49&lt;$M$36,AND(C49&gt;$M$37,C49&lt;=$M$5)),"-",C49&lt;=$M$36+(Annuity_Calc!$C$16),$M$9)</f>
        <v>-</v>
      </c>
      <c r="E49" s="16" cm="1">
        <f t="array" ref="E49">_xlfn.IFS(OR(C49&lt;$M$12,AND(C49&gt;$M$13,C49&lt;=$M$5)),"-",C49&lt;=$M$13,$M$14+(C49-$M$12)*$M$15)</f>
        <v>45000</v>
      </c>
      <c r="F49" s="16" cm="1">
        <f t="array" ref="F49">_xlfn.IFS(C49&lt;$M$36,"-",C49&lt;=$M$5,$M$18)</f>
        <v>7200</v>
      </c>
      <c r="G49" s="16" cm="1">
        <f t="array" ref="G49">_xlfn.IFS(OR(C49&lt;$M$21,AND(C49&gt;$M$22,C49&lt;=$M$5)),"-",C49&lt;=$M$22,C49*$M$23)</f>
        <v>85000</v>
      </c>
      <c r="H49" s="16" t="str" cm="1">
        <f t="array" ref="H49">_xlfn.IFS(OR(C49&lt;$M$36,AND(C49&lt;=$M$5,C49&gt;$M$37)),"-",ROUNDUP(C49&lt;=(($M$37+$M$36)/2),0),$M$26,C49&lt;=$M$37,$M$27)</f>
        <v>-</v>
      </c>
      <c r="I49" s="16" t="str" cm="1">
        <f t="array" ref="I49">_xlfn.IFS(OR(AND(C49&lt;=$M$5,C49&gt;$M$37),C49&lt;$M$36),"-",C49&lt;=$M$37,$M$30/($M$37-$M$36+1))</f>
        <v>-</v>
      </c>
      <c r="J49" s="16" t="str" cm="1">
        <f t="array" ref="J49">_xlfn.IFS(C49&lt;$M$36,"-",AND(ISEVEN($M$36),ISEVEN(C49),C49&lt;=$M$37),$M$33,AND(ISODD($M$36),ISODD(C49),C49&lt;=$M$37),$M$33,C49&lt;=$M$5,"-")</f>
        <v>-</v>
      </c>
    </row>
    <row r="50" spans="3:10" x14ac:dyDescent="0.25">
      <c r="C50" s="4">
        <v>86</v>
      </c>
      <c r="D50" s="16" t="str" cm="1">
        <f t="array" ref="D50">_xlfn.IFS(OR(C50&lt;$M$36,AND(C50&gt;$M$37,C50&lt;=$M$5)),"-",C50&lt;=$M$36+(Annuity_Calc!$C$16),$M$9)</f>
        <v>-</v>
      </c>
      <c r="E50" s="16" cm="1">
        <f t="array" ref="E50">_xlfn.IFS(OR(C50&lt;$M$12,AND(C50&gt;$M$13,C50&lt;=$M$5)),"-",C50&lt;=$M$13,$M$14+(C50-$M$12)*$M$15)</f>
        <v>46000</v>
      </c>
      <c r="F50" s="16" cm="1">
        <f t="array" ref="F50">_xlfn.IFS(C50&lt;$M$36,"-",C50&lt;=$M$5,$M$18)</f>
        <v>7200</v>
      </c>
      <c r="G50" s="16" cm="1">
        <f t="array" ref="G50">_xlfn.IFS(OR(C50&lt;$M$21,AND(C50&gt;$M$22,C50&lt;=$M$5)),"-",C50&lt;=$M$22,C50*$M$23)</f>
        <v>86000</v>
      </c>
      <c r="H50" s="16" t="str" cm="1">
        <f t="array" ref="H50">_xlfn.IFS(OR(C50&lt;$M$36,AND(C50&lt;=$M$5,C50&gt;$M$37)),"-",ROUNDUP(C50&lt;=(($M$37+$M$36)/2),0),$M$26,C50&lt;=$M$37,$M$27)</f>
        <v>-</v>
      </c>
      <c r="I50" s="16" t="str" cm="1">
        <f t="array" ref="I50">_xlfn.IFS(OR(AND(C50&lt;=$M$5,C50&gt;$M$37),C50&lt;$M$36),"-",C50&lt;=$M$37,$M$30/($M$37-$M$36+1))</f>
        <v>-</v>
      </c>
      <c r="J50" s="16" t="str" cm="1">
        <f t="array" ref="J50">_xlfn.IFS(C50&lt;$M$36,"-",AND(ISEVEN($M$36),ISEVEN(C50),C50&lt;=$M$37),$M$33,AND(ISODD($M$36),ISODD(C50),C50&lt;=$M$37),$M$33,C50&lt;=$M$5,"-")</f>
        <v>-</v>
      </c>
    </row>
    <row r="51" spans="3:10" x14ac:dyDescent="0.25">
      <c r="C51" s="4">
        <v>87</v>
      </c>
      <c r="D51" s="16" t="str" cm="1">
        <f t="array" ref="D51">_xlfn.IFS(OR(C51&lt;$M$36,AND(C51&gt;$M$37,C51&lt;=$M$5)),"-",C51&lt;=$M$36+(Annuity_Calc!$C$16),$M$9)</f>
        <v>-</v>
      </c>
      <c r="E51" s="16" cm="1">
        <f t="array" ref="E51">_xlfn.IFS(OR(C51&lt;$M$12,AND(C51&gt;$M$13,C51&lt;=$M$5)),"-",C51&lt;=$M$13,$M$14+(C51-$M$12)*$M$15)</f>
        <v>47000</v>
      </c>
      <c r="F51" s="16" cm="1">
        <f t="array" ref="F51">_xlfn.IFS(C51&lt;$M$36,"-",C51&lt;=$M$5,$M$18)</f>
        <v>7200</v>
      </c>
      <c r="G51" s="16" cm="1">
        <f t="array" ref="G51">_xlfn.IFS(OR(C51&lt;$M$21,AND(C51&gt;$M$22,C51&lt;=$M$5)),"-",C51&lt;=$M$22,C51*$M$23)</f>
        <v>87000</v>
      </c>
      <c r="H51" s="16" t="str" cm="1">
        <f t="array" ref="H51">_xlfn.IFS(OR(C51&lt;$M$36,AND(C51&lt;=$M$5,C51&gt;$M$37)),"-",ROUNDUP(C51&lt;=(($M$37+$M$36)/2),0),$M$26,C51&lt;=$M$37,$M$27)</f>
        <v>-</v>
      </c>
      <c r="I51" s="16" t="str" cm="1">
        <f t="array" ref="I51">_xlfn.IFS(OR(AND(C51&lt;=$M$5,C51&gt;$M$37),C51&lt;$M$36),"-",C51&lt;=$M$37,$M$30/($M$37-$M$36+1))</f>
        <v>-</v>
      </c>
      <c r="J51" s="16" t="str" cm="1">
        <f t="array" ref="J51">_xlfn.IFS(C51&lt;$M$36,"-",AND(ISEVEN($M$36),ISEVEN(C51),C51&lt;=$M$37),$M$33,AND(ISODD($M$36),ISODD(C51),C51&lt;=$M$37),$M$33,C51&lt;=$M$5,"-")</f>
        <v>-</v>
      </c>
    </row>
    <row r="52" spans="3:10" x14ac:dyDescent="0.25">
      <c r="C52" s="4">
        <v>88</v>
      </c>
      <c r="D52" s="16" t="str" cm="1">
        <f t="array" ref="D52">_xlfn.IFS(OR(C52&lt;$M$36,AND(C52&gt;$M$37,C52&lt;=$M$5)),"-",C52&lt;=$M$36+(Annuity_Calc!$C$16),$M$9)</f>
        <v>-</v>
      </c>
      <c r="E52" s="16" cm="1">
        <f t="array" ref="E52">_xlfn.IFS(OR(C52&lt;$M$12,AND(C52&gt;$M$13,C52&lt;=$M$5)),"-",C52&lt;=$M$13,$M$14+(C52-$M$12)*$M$15)</f>
        <v>48000</v>
      </c>
      <c r="F52" s="16" cm="1">
        <f t="array" ref="F52">_xlfn.IFS(C52&lt;$M$36,"-",C52&lt;=$M$5,$M$18)</f>
        <v>7200</v>
      </c>
      <c r="G52" s="16" cm="1">
        <f t="array" ref="G52">_xlfn.IFS(OR(C52&lt;$M$21,AND(C52&gt;$M$22,C52&lt;=$M$5)),"-",C52&lt;=$M$22,C52*$M$23)</f>
        <v>88000</v>
      </c>
      <c r="H52" s="16" t="str" cm="1">
        <f t="array" ref="H52">_xlfn.IFS(OR(C52&lt;$M$36,AND(C52&lt;=$M$5,C52&gt;$M$37)),"-",ROUNDUP(C52&lt;=(($M$37+$M$36)/2),0),$M$26,C52&lt;=$M$37,$M$27)</f>
        <v>-</v>
      </c>
      <c r="I52" s="16" t="str" cm="1">
        <f t="array" ref="I52">_xlfn.IFS(OR(AND(C52&lt;=$M$5,C52&gt;$M$37),C52&lt;$M$36),"-",C52&lt;=$M$37,$M$30/($M$37-$M$36+1))</f>
        <v>-</v>
      </c>
      <c r="J52" s="16" t="str" cm="1">
        <f t="array" ref="J52">_xlfn.IFS(C52&lt;$M$36,"-",AND(ISEVEN($M$36),ISEVEN(C52),C52&lt;=$M$37),$M$33,AND(ISODD($M$36),ISODD(C52),C52&lt;=$M$37),$M$33,C52&lt;=$M$5,"-")</f>
        <v>-</v>
      </c>
    </row>
    <row r="53" spans="3:10" x14ac:dyDescent="0.25">
      <c r="C53" s="4">
        <v>89</v>
      </c>
      <c r="D53" s="16" t="str" cm="1">
        <f t="array" ref="D53">_xlfn.IFS(OR(C53&lt;$M$36,AND(C53&gt;$M$37,C53&lt;=$M$5)),"-",C53&lt;=$M$36+(Annuity_Calc!$C$16),$M$9)</f>
        <v>-</v>
      </c>
      <c r="E53" s="16" cm="1">
        <f t="array" ref="E53">_xlfn.IFS(OR(C53&lt;$M$12,AND(C53&gt;$M$13,C53&lt;=$M$5)),"-",C53&lt;=$M$13,$M$14+(C53-$M$12)*$M$15)</f>
        <v>49000</v>
      </c>
      <c r="F53" s="16" cm="1">
        <f t="array" ref="F53">_xlfn.IFS(C53&lt;$M$36,"-",C53&lt;=$M$5,$M$18)</f>
        <v>7200</v>
      </c>
      <c r="G53" s="16" cm="1">
        <f t="array" ref="G53">_xlfn.IFS(OR(C53&lt;$M$21,AND(C53&gt;$M$22,C53&lt;=$M$5)),"-",C53&lt;=$M$22,C53*$M$23)</f>
        <v>89000</v>
      </c>
      <c r="H53" s="16" t="str" cm="1">
        <f t="array" ref="H53">_xlfn.IFS(OR(C53&lt;$M$36,AND(C53&lt;=$M$5,C53&gt;$M$37)),"-",ROUNDUP(C53&lt;=(($M$37+$M$36)/2),0),$M$26,C53&lt;=$M$37,$M$27)</f>
        <v>-</v>
      </c>
      <c r="I53" s="16" t="str" cm="1">
        <f t="array" ref="I53">_xlfn.IFS(OR(AND(C53&lt;=$M$5,C53&gt;$M$37),C53&lt;$M$36),"-",C53&lt;=$M$37,$M$30/($M$37-$M$36+1))</f>
        <v>-</v>
      </c>
      <c r="J53" s="16" t="str" cm="1">
        <f t="array" ref="J53">_xlfn.IFS(C53&lt;$M$36,"-",AND(ISEVEN($M$36),ISEVEN(C53),C53&lt;=$M$37),$M$33,AND(ISODD($M$36),ISODD(C53),C53&lt;=$M$37),$M$33,C53&lt;=$M$5,"-")</f>
        <v>-</v>
      </c>
    </row>
    <row r="54" spans="3:10" x14ac:dyDescent="0.25">
      <c r="C54" s="4">
        <v>90</v>
      </c>
      <c r="D54" s="16" t="str" cm="1">
        <f t="array" ref="D54">_xlfn.IFS(OR(C54&lt;$M$36,AND(C54&gt;$M$37,C54&lt;=$M$5)),"-",C54&lt;=$M$36+(Annuity_Calc!$C$16),$M$9)</f>
        <v>-</v>
      </c>
      <c r="E54" s="16" cm="1">
        <f t="array" ref="E54">_xlfn.IFS(OR(C54&lt;$M$12,AND(C54&gt;$M$13,C54&lt;=$M$5)),"-",C54&lt;=$M$13,$M$14+(C54-$M$12)*$M$15)</f>
        <v>50000</v>
      </c>
      <c r="F54" s="16" cm="1">
        <f t="array" ref="F54">_xlfn.IFS(C54&lt;$M$36,"-",C54&lt;=$M$5,$M$18)</f>
        <v>7200</v>
      </c>
      <c r="G54" s="16" cm="1">
        <f t="array" ref="G54">_xlfn.IFS(OR(C54&lt;$M$21,AND(C54&gt;$M$22,C54&lt;=$M$5)),"-",C54&lt;=$M$22,C54*$M$23)</f>
        <v>90000</v>
      </c>
      <c r="H54" s="16" t="str" cm="1">
        <f t="array" ref="H54">_xlfn.IFS(OR(C54&lt;$M$36,AND(C54&lt;=$M$5,C54&gt;$M$37)),"-",ROUNDUP(C54&lt;=(($M$37+$M$36)/2),0),$M$26,C54&lt;=$M$37,$M$27)</f>
        <v>-</v>
      </c>
      <c r="I54" s="16" t="str" cm="1">
        <f t="array" ref="I54">_xlfn.IFS(OR(AND(C54&lt;=$M$5,C54&gt;$M$37),C54&lt;$M$36),"-",C54&lt;=$M$37,$M$30/($M$37-$M$36+1))</f>
        <v>-</v>
      </c>
      <c r="J54" s="16" t="str" cm="1">
        <f t="array" ref="J54">_xlfn.IFS(C54&lt;$M$36,"-",AND(ISEVEN($M$36),ISEVEN(C54),C54&lt;=$M$37),$M$33,AND(ISODD($M$36),ISODD(C54),C54&lt;=$M$37),$M$33,C54&lt;=$M$5,"-")</f>
        <v>-</v>
      </c>
    </row>
    <row r="55" spans="3:10" x14ac:dyDescent="0.25">
      <c r="C55" s="4">
        <v>91</v>
      </c>
      <c r="D55" s="16" t="str" cm="1">
        <f t="array" ref="D55">_xlfn.IFS(OR(C55&lt;$M$36,AND(C55&gt;$M$37,C55&lt;=$M$5)),"-",C55&lt;=$M$36+(Annuity_Calc!$C$16),$M$9)</f>
        <v>-</v>
      </c>
      <c r="E55" s="16" cm="1">
        <f t="array" ref="E55">_xlfn.IFS(OR(C55&lt;$M$12,AND(C55&gt;$M$13,C55&lt;=$M$5)),"-",C55&lt;=$M$13,$M$14+(C55-$M$12)*$M$15)</f>
        <v>51000</v>
      </c>
      <c r="F55" s="16" cm="1">
        <f t="array" ref="F55">_xlfn.IFS(C55&lt;$M$36,"-",C55&lt;=$M$5,$M$18)</f>
        <v>7200</v>
      </c>
      <c r="G55" s="16" cm="1">
        <f t="array" ref="G55">_xlfn.IFS(OR(C55&lt;$M$21,AND(C55&gt;$M$22,C55&lt;=$M$5)),"-",C55&lt;=$M$22,C55*$M$23)</f>
        <v>91000</v>
      </c>
      <c r="H55" s="16" t="str" cm="1">
        <f t="array" ref="H55">_xlfn.IFS(OR(C55&lt;$M$36,AND(C55&lt;=$M$5,C55&gt;$M$37)),"-",ROUNDUP(C55&lt;=(($M$37+$M$36)/2),0),$M$26,C55&lt;=$M$37,$M$27)</f>
        <v>-</v>
      </c>
      <c r="I55" s="16" t="str" cm="1">
        <f t="array" ref="I55">_xlfn.IFS(OR(AND(C55&lt;=$M$5,C55&gt;$M$37),C55&lt;$M$36),"-",C55&lt;=$M$37,$M$30/($M$37-$M$36+1))</f>
        <v>-</v>
      </c>
      <c r="J55" s="16" t="str" cm="1">
        <f t="array" ref="J55">_xlfn.IFS(C55&lt;$M$36,"-",AND(ISEVEN($M$36),ISEVEN(C55),C55&lt;=$M$37),$M$33,AND(ISODD($M$36),ISODD(C55),C55&lt;=$M$37),$M$33,C55&lt;=$M$5,"-")</f>
        <v>-</v>
      </c>
    </row>
    <row r="56" spans="3:10" x14ac:dyDescent="0.25">
      <c r="C56" s="4">
        <v>92</v>
      </c>
      <c r="D56" s="16" t="str" cm="1">
        <f t="array" ref="D56">_xlfn.IFS(OR(C56&lt;$M$36,AND(C56&gt;$M$37,C56&lt;=$M$5)),"-",C56&lt;=$M$36+(Annuity_Calc!$C$16),$M$9)</f>
        <v>-</v>
      </c>
      <c r="E56" s="16" cm="1">
        <f t="array" ref="E56">_xlfn.IFS(OR(C56&lt;$M$12,AND(C56&gt;$M$13,C56&lt;=$M$5)),"-",C56&lt;=$M$13,$M$14+(C56-$M$12)*$M$15)</f>
        <v>52000</v>
      </c>
      <c r="F56" s="16" cm="1">
        <f t="array" ref="F56">_xlfn.IFS(C56&lt;$M$36,"-",C56&lt;=$M$5,$M$18)</f>
        <v>7200</v>
      </c>
      <c r="G56" s="16" cm="1">
        <f t="array" ref="G56">_xlfn.IFS(OR(C56&lt;$M$21,AND(C56&gt;$M$22,C56&lt;=$M$5)),"-",C56&lt;=$M$22,C56*$M$23)</f>
        <v>92000</v>
      </c>
      <c r="H56" s="16" t="str" cm="1">
        <f t="array" ref="H56">_xlfn.IFS(OR(C56&lt;$M$36,AND(C56&lt;=$M$5,C56&gt;$M$37)),"-",ROUNDUP(C56&lt;=(($M$37+$M$36)/2),0),$M$26,C56&lt;=$M$37,$M$27)</f>
        <v>-</v>
      </c>
      <c r="I56" s="16" t="str" cm="1">
        <f t="array" ref="I56">_xlfn.IFS(OR(AND(C56&lt;=$M$5,C56&gt;$M$37),C56&lt;$M$36),"-",C56&lt;=$M$37,$M$30/($M$37-$M$36+1))</f>
        <v>-</v>
      </c>
      <c r="J56" s="16" t="str" cm="1">
        <f t="array" ref="J56">_xlfn.IFS(C56&lt;$M$36,"-",AND(ISEVEN($M$36),ISEVEN(C56),C56&lt;=$M$37),$M$33,AND(ISODD($M$36),ISODD(C56),C56&lt;=$M$37),$M$33,C56&lt;=$M$5,"-")</f>
        <v>-</v>
      </c>
    </row>
    <row r="57" spans="3:10" x14ac:dyDescent="0.25">
      <c r="C57" s="4">
        <v>93</v>
      </c>
      <c r="D57" s="16" t="str" cm="1">
        <f t="array" ref="D57">_xlfn.IFS(OR(C57&lt;$M$36,AND(C57&gt;$M$37,C57&lt;=$M$5)),"-",C57&lt;=$M$36+(Annuity_Calc!$C$16),$M$9)</f>
        <v>-</v>
      </c>
      <c r="E57" s="16" cm="1">
        <f t="array" ref="E57">_xlfn.IFS(OR(C57&lt;$M$12,AND(C57&gt;$M$13,C57&lt;=$M$5)),"-",C57&lt;=$M$13,$M$14+(C57-$M$12)*$M$15)</f>
        <v>53000</v>
      </c>
      <c r="F57" s="16" cm="1">
        <f t="array" ref="F57">_xlfn.IFS(C57&lt;$M$36,"-",C57&lt;=$M$5,$M$18)</f>
        <v>7200</v>
      </c>
      <c r="G57" s="16" cm="1">
        <f t="array" ref="G57">_xlfn.IFS(OR(C57&lt;$M$21,AND(C57&gt;$M$22,C57&lt;=$M$5)),"-",C57&lt;=$M$22,C57*$M$23)</f>
        <v>93000</v>
      </c>
      <c r="H57" s="16" t="str" cm="1">
        <f t="array" ref="H57">_xlfn.IFS(OR(C57&lt;$M$36,AND(C57&lt;=$M$5,C57&gt;$M$37)),"-",ROUNDUP(C57&lt;=(($M$37+$M$36)/2),0),$M$26,C57&lt;=$M$37,$M$27)</f>
        <v>-</v>
      </c>
      <c r="I57" s="16" t="str" cm="1">
        <f t="array" ref="I57">_xlfn.IFS(OR(AND(C57&lt;=$M$5,C57&gt;$M$37),C57&lt;$M$36),"-",C57&lt;=$M$37,$M$30/($M$37-$M$36+1))</f>
        <v>-</v>
      </c>
      <c r="J57" s="16" t="str" cm="1">
        <f t="array" ref="J57">_xlfn.IFS(C57&lt;$M$36,"-",AND(ISEVEN($M$36),ISEVEN(C57),C57&lt;=$M$37),$M$33,AND(ISODD($M$36),ISODD(C57),C57&lt;=$M$37),$M$33,C57&lt;=$M$5,"-")</f>
        <v>-</v>
      </c>
    </row>
    <row r="58" spans="3:10" x14ac:dyDescent="0.25">
      <c r="C58" s="4">
        <v>94</v>
      </c>
      <c r="D58" s="16" t="str" cm="1">
        <f t="array" ref="D58">_xlfn.IFS(OR(C58&lt;$M$36,AND(C58&gt;$M$37,C58&lt;=$M$5)),"-",C58&lt;=$M$36+(Annuity_Calc!$C$16),$M$9)</f>
        <v>-</v>
      </c>
      <c r="E58" s="16" cm="1">
        <f t="array" ref="E58">_xlfn.IFS(OR(C58&lt;$M$12,AND(C58&gt;$M$13,C58&lt;=$M$5)),"-",C58&lt;=$M$13,$M$14+(C58-$M$12)*$M$15)</f>
        <v>54000</v>
      </c>
      <c r="F58" s="16" cm="1">
        <f t="array" ref="F58">_xlfn.IFS(C58&lt;$M$36,"-",C58&lt;=$M$5,$M$18)</f>
        <v>7200</v>
      </c>
      <c r="G58" s="16" cm="1">
        <f t="array" ref="G58">_xlfn.IFS(OR(C58&lt;$M$21,AND(C58&gt;$M$22,C58&lt;=$M$5)),"-",C58&lt;=$M$22,C58*$M$23)</f>
        <v>94000</v>
      </c>
      <c r="H58" s="16" t="str" cm="1">
        <f t="array" ref="H58">_xlfn.IFS(OR(C58&lt;$M$36,AND(C58&lt;=$M$5,C58&gt;$M$37)),"-",ROUNDUP(C58&lt;=(($M$37+$M$36)/2),0),$M$26,C58&lt;=$M$37,$M$27)</f>
        <v>-</v>
      </c>
      <c r="I58" s="16" t="str" cm="1">
        <f t="array" ref="I58">_xlfn.IFS(OR(AND(C58&lt;=$M$5,C58&gt;$M$37),C58&lt;$M$36),"-",C58&lt;=$M$37,$M$30/($M$37-$M$36+1))</f>
        <v>-</v>
      </c>
      <c r="J58" s="16" t="str" cm="1">
        <f t="array" ref="J58">_xlfn.IFS(C58&lt;$M$36,"-",AND(ISEVEN($M$36),ISEVEN(C58),C58&lt;=$M$37),$M$33,AND(ISODD($M$36),ISODD(C58),C58&lt;=$M$37),$M$33,C58&lt;=$M$5,"-")</f>
        <v>-</v>
      </c>
    </row>
    <row r="59" spans="3:10" x14ac:dyDescent="0.25">
      <c r="C59" s="4">
        <v>95</v>
      </c>
      <c r="D59" s="16" t="str" cm="1">
        <f t="array" ref="D59">_xlfn.IFS(OR(C59&lt;$M$36,AND(C59&gt;$M$37,C59&lt;=$M$5)),"-",C59&lt;=$M$36+(Annuity_Calc!$C$16),$M$9)</f>
        <v>-</v>
      </c>
      <c r="E59" s="16" t="str" cm="1">
        <f t="array" ref="E59">_xlfn.IFS(OR(C59&lt;$M$12,AND(C59&gt;$M$13,C59&lt;=$M$5)),"-",C59&lt;=$M$13,$M$14+(C59-$M$12)*$M$15)</f>
        <v>-</v>
      </c>
      <c r="F59" s="16" cm="1">
        <f t="array" ref="F59">_xlfn.IFS(C59&lt;$M$36,"-",C59&lt;=$M$5,$M$18)</f>
        <v>7200</v>
      </c>
      <c r="G59" s="16" cm="1">
        <f t="array" ref="G59">_xlfn.IFS(OR(C59&lt;$M$21,AND(C59&gt;$M$22,C59&lt;=$M$5)),"-",C59&lt;=$M$22,C59*$M$23)</f>
        <v>95000</v>
      </c>
      <c r="H59" s="16" t="str" cm="1">
        <f t="array" ref="H59">_xlfn.IFS(OR(C59&lt;$M$36,AND(C59&lt;=$M$5,C59&gt;$M$37)),"-",ROUNDUP(C59&lt;=(($M$37+$M$36)/2),0),$M$26,C59&lt;=$M$37,$M$27)</f>
        <v>-</v>
      </c>
      <c r="I59" s="16" t="str" cm="1">
        <f t="array" ref="I59">_xlfn.IFS(OR(AND(C59&lt;=$M$5,C59&gt;$M$37),C59&lt;$M$36),"-",C59&lt;=$M$37,$M$30/($M$37-$M$36+1))</f>
        <v>-</v>
      </c>
      <c r="J59" s="16" t="str" cm="1">
        <f t="array" ref="J59">_xlfn.IFS(C59&lt;$M$36,"-",AND(ISEVEN($M$36),ISEVEN(C59),C59&lt;=$M$37),$M$33,AND(ISODD($M$36),ISODD(C59),C59&lt;=$M$37),$M$33,C59&lt;=$M$5,"-")</f>
        <v>-</v>
      </c>
    </row>
    <row r="60" spans="3:10" x14ac:dyDescent="0.25">
      <c r="C60" s="4">
        <v>96</v>
      </c>
      <c r="D60" s="16" t="str" cm="1">
        <f t="array" ref="D60">_xlfn.IFS(OR(C60&lt;$M$36,AND(C60&gt;$M$37,C60&lt;=$M$5)),"-",C60&lt;=$M$36+(Annuity_Calc!$C$16),$M$9)</f>
        <v>-</v>
      </c>
      <c r="E60" s="16" t="str" cm="1">
        <f t="array" ref="E60">_xlfn.IFS(OR(C60&lt;$M$12,AND(C60&gt;$M$13,C60&lt;=$M$5)),"-",C60&lt;=$M$13,$M$14+(C60-$M$12)*$M$15)</f>
        <v>-</v>
      </c>
      <c r="F60" s="16" cm="1">
        <f t="array" ref="F60">_xlfn.IFS(C60&lt;$M$36,"-",C60&lt;=$M$5,$M$18)</f>
        <v>7200</v>
      </c>
      <c r="G60" s="16" cm="1">
        <f t="array" ref="G60">_xlfn.IFS(OR(C60&lt;$M$21,AND(C60&gt;$M$22,C60&lt;=$M$5)),"-",C60&lt;=$M$22,C60*$M$23)</f>
        <v>96000</v>
      </c>
      <c r="H60" s="16" t="str" cm="1">
        <f t="array" ref="H60">_xlfn.IFS(OR(C60&lt;$M$36,AND(C60&lt;=$M$5,C60&gt;$M$37)),"-",ROUNDUP(C60&lt;=(($M$37+$M$36)/2),0),$M$26,C60&lt;=$M$37,$M$27)</f>
        <v>-</v>
      </c>
      <c r="I60" s="16" t="str" cm="1">
        <f t="array" ref="I60">_xlfn.IFS(OR(AND(C60&lt;=$M$5,C60&gt;$M$37),C60&lt;$M$36),"-",C60&lt;=$M$37,$M$30/($M$37-$M$36+1))</f>
        <v>-</v>
      </c>
      <c r="J60" s="16" t="str" cm="1">
        <f t="array" ref="J60">_xlfn.IFS(C60&lt;$M$36,"-",AND(ISEVEN($M$36),ISEVEN(C60),C60&lt;=$M$37),$M$33,AND(ISODD($M$36),ISODD(C60),C60&lt;=$M$37),$M$33,C60&lt;=$M$5,"-")</f>
        <v>-</v>
      </c>
    </row>
    <row r="61" spans="3:10" x14ac:dyDescent="0.25">
      <c r="C61" s="4">
        <v>97</v>
      </c>
      <c r="D61" s="16" t="str" cm="1">
        <f t="array" ref="D61">_xlfn.IFS(OR(C61&lt;$M$36,AND(C61&gt;$M$37,C61&lt;=$M$5)),"-",C61&lt;=$M$36+(Annuity_Calc!$C$16),$M$9)</f>
        <v>-</v>
      </c>
      <c r="E61" s="16" t="str" cm="1">
        <f t="array" ref="E61">_xlfn.IFS(OR(C61&lt;$M$12,AND(C61&gt;$M$13,C61&lt;=$M$5)),"-",C61&lt;=$M$13,$M$14+(C61-$M$12)*$M$15)</f>
        <v>-</v>
      </c>
      <c r="F61" s="16" cm="1">
        <f t="array" ref="F61">_xlfn.IFS(C61&lt;$M$36,"-",C61&lt;=$M$5,$M$18)</f>
        <v>7200</v>
      </c>
      <c r="G61" s="16" cm="1">
        <f t="array" ref="G61">_xlfn.IFS(OR(C61&lt;$M$21,AND(C61&gt;$M$22,C61&lt;=$M$5)),"-",C61&lt;=$M$22,C61*$M$23)</f>
        <v>97000</v>
      </c>
      <c r="H61" s="16" t="str" cm="1">
        <f t="array" ref="H61">_xlfn.IFS(OR(C61&lt;$M$36,AND(C61&lt;=$M$5,C61&gt;$M$37)),"-",ROUNDUP(C61&lt;=(($M$37+$M$36)/2),0),$M$26,C61&lt;=$M$37,$M$27)</f>
        <v>-</v>
      </c>
      <c r="I61" s="16" t="str" cm="1">
        <f t="array" ref="I61">_xlfn.IFS(OR(AND(C61&lt;=$M$5,C61&gt;$M$37),C61&lt;$M$36),"-",C61&lt;=$M$37,$M$30/($M$37-$M$36+1))</f>
        <v>-</v>
      </c>
      <c r="J61" s="16" t="str" cm="1">
        <f t="array" ref="J61">_xlfn.IFS(C61&lt;$M$36,"-",AND(ISEVEN($M$36),ISEVEN(C61),C61&lt;=$M$37),$M$33,AND(ISODD($M$36),ISODD(C61),C61&lt;=$M$37),$M$33,C61&lt;=$M$5,"-")</f>
        <v>-</v>
      </c>
    </row>
    <row r="62" spans="3:10" x14ac:dyDescent="0.25">
      <c r="C62" s="4">
        <v>98</v>
      </c>
      <c r="D62" s="16" t="str" cm="1">
        <f t="array" ref="D62">_xlfn.IFS(OR(C62&lt;$M$36,AND(C62&gt;$M$37,C62&lt;=$M$5)),"-",C62&lt;=$M$36+(Annuity_Calc!$C$16),$M$9)</f>
        <v>-</v>
      </c>
      <c r="E62" s="16" t="str" cm="1">
        <f t="array" ref="E62">_xlfn.IFS(OR(C62&lt;$M$12,AND(C62&gt;$M$13,C62&lt;=$M$5)),"-",C62&lt;=$M$13,$M$14+(C62-$M$12)*$M$15)</f>
        <v>-</v>
      </c>
      <c r="F62" s="16" cm="1">
        <f t="array" ref="F62">_xlfn.IFS(C62&lt;$M$36,"-",C62&lt;=$M$5,$M$18)</f>
        <v>7200</v>
      </c>
      <c r="G62" s="16" cm="1">
        <f t="array" ref="G62">_xlfn.IFS(OR(C62&lt;$M$21,AND(C62&gt;$M$22,C62&lt;=$M$5)),"-",C62&lt;=$M$22,C62*$M$23)</f>
        <v>98000</v>
      </c>
      <c r="H62" s="16" t="str" cm="1">
        <f t="array" ref="H62">_xlfn.IFS(OR(C62&lt;$M$36,AND(C62&lt;=$M$5,C62&gt;$M$37)),"-",ROUNDUP(C62&lt;=(($M$37+$M$36)/2),0),$M$26,C62&lt;=$M$37,$M$27)</f>
        <v>-</v>
      </c>
      <c r="I62" s="16" t="str" cm="1">
        <f t="array" ref="I62">_xlfn.IFS(OR(AND(C62&lt;=$M$5,C62&gt;$M$37),C62&lt;$M$36),"-",C62&lt;=$M$37,$M$30/($M$37-$M$36+1))</f>
        <v>-</v>
      </c>
      <c r="J62" s="16" t="str" cm="1">
        <f t="array" ref="J62">_xlfn.IFS(C62&lt;$M$36,"-",AND(ISEVEN($M$36),ISEVEN(C62),C62&lt;=$M$37),$M$33,AND(ISODD($M$36),ISODD(C62),C62&lt;=$M$37),$M$33,C62&lt;=$M$5,"-")</f>
        <v>-</v>
      </c>
    </row>
    <row r="63" spans="3:10" x14ac:dyDescent="0.25">
      <c r="C63" s="4">
        <v>99</v>
      </c>
      <c r="D63" s="16" t="str" cm="1">
        <f t="array" ref="D63">_xlfn.IFS(OR(C63&lt;$M$36,AND(C63&gt;$M$37,C63&lt;=$M$5)),"-",C63&lt;=$M$36+(Annuity_Calc!$C$16),$M$9)</f>
        <v>-</v>
      </c>
      <c r="E63" s="16" t="str" cm="1">
        <f t="array" ref="E63">_xlfn.IFS(OR(C63&lt;$M$12,AND(C63&gt;$M$13,C63&lt;=$M$5)),"-",C63&lt;=$M$13,$M$14+(C63-$M$12)*$M$15)</f>
        <v>-</v>
      </c>
      <c r="F63" s="16" cm="1">
        <f t="array" ref="F63">_xlfn.IFS(C63&lt;$M$36,"-",C63&lt;=$M$5,$M$18)</f>
        <v>7200</v>
      </c>
      <c r="G63" s="16" cm="1">
        <f t="array" ref="G63">_xlfn.IFS(OR(C63&lt;$M$21,AND(C63&gt;$M$22,C63&lt;=$M$5)),"-",C63&lt;=$M$22,C63*$M$23)</f>
        <v>99000</v>
      </c>
      <c r="H63" s="16" t="str" cm="1">
        <f t="array" ref="H63">_xlfn.IFS(OR(C63&lt;$M$36,AND(C63&lt;=$M$5,C63&gt;$M$37)),"-",ROUNDUP(C63&lt;=(($M$37+$M$36)/2),0),$M$26,C63&lt;=$M$37,$M$27)</f>
        <v>-</v>
      </c>
      <c r="I63" s="16" t="str" cm="1">
        <f t="array" ref="I63">_xlfn.IFS(OR(AND(C63&lt;=$M$5,C63&gt;$M$37),C63&lt;$M$36),"-",C63&lt;=$M$37,$M$30/($M$37-$M$36+1))</f>
        <v>-</v>
      </c>
      <c r="J63" s="16" t="str" cm="1">
        <f t="array" ref="J63">_xlfn.IFS(C63&lt;$M$36,"-",AND(ISEVEN($M$36),ISEVEN(C63),C63&lt;=$M$37),$M$33,AND(ISODD($M$36),ISODD(C63),C63&lt;=$M$37),$M$33,C63&lt;=$M$5,"-")</f>
        <v>-</v>
      </c>
    </row>
    <row r="64" spans="3:10" x14ac:dyDescent="0.25">
      <c r="C64" s="4">
        <v>100</v>
      </c>
      <c r="D64" s="16" t="str" cm="1">
        <f t="array" ref="D64">_xlfn.IFS(OR(C64&lt;$M$36,AND(C64&gt;$M$37,C64&lt;=$M$5)),"-",C64&lt;=$M$36+(Annuity_Calc!$C$16),$M$9)</f>
        <v>-</v>
      </c>
      <c r="E64" s="16" t="str" cm="1">
        <f t="array" ref="E64">_xlfn.IFS(OR(C64&lt;$M$12,AND(C64&gt;$M$13,C64&lt;=$M$5)),"-",C64&lt;=$M$13,$M$14+(C64-$M$12)*$M$15)</f>
        <v>-</v>
      </c>
      <c r="F64" s="16" cm="1">
        <f t="array" ref="F64">_xlfn.IFS(C64&lt;$M$36,"-",C64&lt;=$M$5,$M$18)</f>
        <v>7200</v>
      </c>
      <c r="G64" s="16" cm="1">
        <f t="array" ref="G64">_xlfn.IFS(OR(C64&lt;$M$21,AND(C64&gt;$M$22,C64&lt;=$M$5)),"-",C64&lt;=$M$22,C64*$M$23)</f>
        <v>100000</v>
      </c>
      <c r="H64" s="16" t="str" cm="1">
        <f t="array" ref="H64">_xlfn.IFS(OR(C64&lt;$M$36,AND(C64&lt;=$M$5,C64&gt;$M$37)),"-",ROUNDUP(C64&lt;=(($M$37+$M$36)/2),0),$M$26,C64&lt;=$M$37,$M$27)</f>
        <v>-</v>
      </c>
      <c r="I64" s="16" t="str" cm="1">
        <f t="array" ref="I64">_xlfn.IFS(OR(AND(C64&lt;=$M$5,C64&gt;$M$37),C64&lt;$M$36),"-",C64&lt;=$M$37,$M$30/($M$37-$M$36+1))</f>
        <v>-</v>
      </c>
      <c r="J64" s="16" t="str" cm="1">
        <f t="array" ref="J64">_xlfn.IFS(C64&lt;$M$36,"-",AND(ISEVEN($M$36),ISEVEN(C64),C64&lt;=$M$37),$M$33,AND(ISODD($M$36),ISODD(C64),C64&lt;=$M$37),$M$33,C64&lt;=$M$5,"-")</f>
        <v>-</v>
      </c>
    </row>
    <row r="65" spans="3:10" x14ac:dyDescent="0.25">
      <c r="C65" s="4">
        <v>101</v>
      </c>
      <c r="D65" s="16" t="str" cm="1">
        <f t="array" ref="D65">_xlfn.IFS(OR(C65&lt;$M$36,AND(C65&gt;$M$37,C65&lt;=$M$5)),"-",C65&lt;=$M$36+(Annuity_Calc!$C$16),$M$9)</f>
        <v>-</v>
      </c>
      <c r="E65" s="16" t="str" cm="1">
        <f t="array" ref="E65">_xlfn.IFS(OR(C65&lt;$M$12,AND(C65&gt;$M$13,C65&lt;=$M$5)),"-",C65&lt;=$M$13,$M$14+(C65-$M$12)*$M$15)</f>
        <v>-</v>
      </c>
      <c r="F65" s="16" cm="1">
        <f t="array" ref="F65">_xlfn.IFS(C65&lt;$M$36,"-",C65&lt;=$M$5,$M$18)</f>
        <v>7200</v>
      </c>
      <c r="G65" s="16" t="str" cm="1">
        <f t="array" ref="G65">_xlfn.IFS(OR(C65&lt;$M$21,AND(C65&gt;$M$22,C65&lt;=$M$5)),"-",C65&lt;=$M$22,C65*$M$23)</f>
        <v>-</v>
      </c>
      <c r="H65" s="16" t="str" cm="1">
        <f t="array" ref="H65">_xlfn.IFS(OR(C65&lt;$M$36,AND(C65&lt;=$M$5,C65&gt;$M$37)),"-",ROUNDUP(C65&lt;=(($M$37+$M$36)/2),0),$M$26,C65&lt;=$M$37,$M$27)</f>
        <v>-</v>
      </c>
      <c r="I65" s="16" t="str" cm="1">
        <f t="array" ref="I65">_xlfn.IFS(OR(AND(C65&lt;=$M$5,C65&gt;$M$37),C65&lt;$M$36),"-",C65&lt;=$M$37,$M$30/($M$37-$M$36+1))</f>
        <v>-</v>
      </c>
      <c r="J65" s="16" t="str" cm="1">
        <f t="array" ref="J65">_xlfn.IFS(C65&lt;$M$36,"-",AND(ISEVEN($M$36),ISEVEN(C65),C65&lt;=$M$37),$M$33,AND(ISODD($M$36),ISODD(C65),C65&lt;=$M$37),$M$33,C65&lt;=$M$5,"-")</f>
        <v>-</v>
      </c>
    </row>
    <row r="66" spans="3:10" x14ac:dyDescent="0.25">
      <c r="C66" s="4">
        <v>102</v>
      </c>
      <c r="D66" s="16" t="str" cm="1">
        <f t="array" ref="D66">_xlfn.IFS(OR(C66&lt;$M$36,AND(C66&gt;$M$37,C66&lt;=$M$5)),"-",C66&lt;=$M$36+(Annuity_Calc!$C$16),$M$9)</f>
        <v>-</v>
      </c>
      <c r="E66" s="16" t="str" cm="1">
        <f t="array" ref="E66">_xlfn.IFS(OR(C66&lt;$M$12,AND(C66&gt;$M$13,C66&lt;=$M$5)),"-",C66&lt;=$M$13,$M$14+(C66-$M$12)*$M$15)</f>
        <v>-</v>
      </c>
      <c r="F66" s="16" cm="1">
        <f t="array" ref="F66">_xlfn.IFS(C66&lt;$M$36,"-",C66&lt;=$M$5,$M$18)</f>
        <v>7200</v>
      </c>
      <c r="G66" s="16" t="str" cm="1">
        <f t="array" ref="G66">_xlfn.IFS(OR(C66&lt;$M$21,AND(C66&gt;$M$22,C66&lt;=$M$5)),"-",C66&lt;=$M$22,C66*$M$23)</f>
        <v>-</v>
      </c>
      <c r="H66" s="16" t="str" cm="1">
        <f t="array" ref="H66">_xlfn.IFS(OR(C66&lt;$M$36,AND(C66&lt;=$M$5,C66&gt;$M$37)),"-",ROUNDUP(C66&lt;=(($M$37+$M$36)/2),0),$M$26,C66&lt;=$M$37,$M$27)</f>
        <v>-</v>
      </c>
      <c r="I66" s="16" t="str" cm="1">
        <f t="array" ref="I66">_xlfn.IFS(OR(AND(C66&lt;=$M$5,C66&gt;$M$37),C66&lt;$M$36),"-",C66&lt;=$M$37,$M$30/($M$37-$M$36+1))</f>
        <v>-</v>
      </c>
      <c r="J66" s="16" t="str" cm="1">
        <f t="array" ref="J66">_xlfn.IFS(C66&lt;$M$36,"-",AND(ISEVEN($M$36),ISEVEN(C66),C66&lt;=$M$37),$M$33,AND(ISODD($M$36),ISODD(C66),C66&lt;=$M$37),$M$33,C66&lt;=$M$5,"-")</f>
        <v>-</v>
      </c>
    </row>
    <row r="67" spans="3:10" x14ac:dyDescent="0.25">
      <c r="C67" s="4">
        <v>103</v>
      </c>
      <c r="D67" s="16" t="str" cm="1">
        <f t="array" ref="D67">_xlfn.IFS(OR(C67&lt;$M$36,AND(C67&gt;$M$37,C67&lt;=$M$5)),"-",C67&lt;=$M$36+(Annuity_Calc!$C$16),$M$9)</f>
        <v>-</v>
      </c>
      <c r="E67" s="16" t="str" cm="1">
        <f t="array" ref="E67">_xlfn.IFS(OR(C67&lt;$M$12,AND(C67&gt;$M$13,C67&lt;=$M$5)),"-",C67&lt;=$M$13,$M$14+(C67-$M$12)*$M$15)</f>
        <v>-</v>
      </c>
      <c r="F67" s="16" cm="1">
        <f t="array" ref="F67">_xlfn.IFS(C67&lt;$M$36,"-",C67&lt;=$M$5,$M$18)</f>
        <v>7200</v>
      </c>
      <c r="G67" s="16" t="str" cm="1">
        <f t="array" ref="G67">_xlfn.IFS(OR(C67&lt;$M$21,AND(C67&gt;$M$22,C67&lt;=$M$5)),"-",C67&lt;=$M$22,C67*$M$23)</f>
        <v>-</v>
      </c>
      <c r="H67" s="16" t="str" cm="1">
        <f t="array" ref="H67">_xlfn.IFS(OR(C67&lt;$M$36,AND(C67&lt;=$M$5,C67&gt;$M$37)),"-",ROUNDUP(C67&lt;=(($M$37+$M$36)/2),0),$M$26,C67&lt;=$M$37,$M$27)</f>
        <v>-</v>
      </c>
      <c r="I67" s="16" t="str" cm="1">
        <f t="array" ref="I67">_xlfn.IFS(OR(AND(C67&lt;=$M$5,C67&gt;$M$37),C67&lt;$M$36),"-",C67&lt;=$M$37,$M$30/($M$37-$M$36+1))</f>
        <v>-</v>
      </c>
      <c r="J67" s="16" t="str" cm="1">
        <f t="array" ref="J67">_xlfn.IFS(C67&lt;$M$36,"-",AND(ISEVEN($M$36),ISEVEN(C67),C67&lt;=$M$37),$M$33,AND(ISODD($M$36),ISODD(C67),C67&lt;=$M$37),$M$33,C67&lt;=$M$5,"-")</f>
        <v>-</v>
      </c>
    </row>
    <row r="68" spans="3:10" x14ac:dyDescent="0.25">
      <c r="C68" s="4">
        <v>104</v>
      </c>
      <c r="D68" s="16" t="str" cm="1">
        <f t="array" ref="D68">_xlfn.IFS(OR(C68&lt;$M$36,AND(C68&gt;$M$37,C68&lt;=$M$5)),"-",C68&lt;=$M$36+(Annuity_Calc!$C$16),$M$9)</f>
        <v>-</v>
      </c>
      <c r="E68" s="16" t="str" cm="1">
        <f t="array" ref="E68">_xlfn.IFS(OR(C68&lt;$M$12,AND(C68&gt;$M$13,C68&lt;=$M$5)),"-",C68&lt;=$M$13,$M$14+(C68-$M$12)*$M$15)</f>
        <v>-</v>
      </c>
      <c r="F68" s="16" cm="1">
        <f t="array" ref="F68">_xlfn.IFS(C68&lt;$M$36,"-",C68&lt;=$M$5,$M$18)</f>
        <v>7200</v>
      </c>
      <c r="G68" s="16" t="str" cm="1">
        <f t="array" ref="G68">_xlfn.IFS(OR(C68&lt;$M$21,AND(C68&gt;$M$22,C68&lt;=$M$5)),"-",C68&lt;=$M$22,C68*$M$23)</f>
        <v>-</v>
      </c>
      <c r="H68" s="16" t="str" cm="1">
        <f t="array" ref="H68">_xlfn.IFS(OR(C68&lt;$M$36,AND(C68&lt;=$M$5,C68&gt;$M$37)),"-",ROUNDUP(C68&lt;=(($M$37+$M$36)/2),0),$M$26,C68&lt;=$M$37,$M$27)</f>
        <v>-</v>
      </c>
      <c r="I68" s="16" t="str" cm="1">
        <f t="array" ref="I68">_xlfn.IFS(OR(AND(C68&lt;=$M$5,C68&gt;$M$37),C68&lt;$M$36),"-",C68&lt;=$M$37,$M$30/($M$37-$M$36+1))</f>
        <v>-</v>
      </c>
      <c r="J68" s="16" t="str" cm="1">
        <f t="array" ref="J68">_xlfn.IFS(C68&lt;$M$36,"-",AND(ISEVEN($M$36),ISEVEN(C68),C68&lt;=$M$37),$M$33,AND(ISODD($M$36),ISODD(C68),C68&lt;=$M$37),$M$33,C68&lt;=$M$5,"-")</f>
        <v>-</v>
      </c>
    </row>
    <row r="69" spans="3:10" x14ac:dyDescent="0.25">
      <c r="C69" s="4">
        <v>105</v>
      </c>
      <c r="D69" s="16" t="str" cm="1">
        <f t="array" ref="D69">_xlfn.IFS(OR(C69&lt;$M$36,AND(C69&gt;$M$37,C69&lt;=$M$5)),"-",C69&lt;=$M$36+(Annuity_Calc!$C$16),$M$9)</f>
        <v>-</v>
      </c>
      <c r="E69" s="16" t="str" cm="1">
        <f t="array" ref="E69">_xlfn.IFS(OR(C69&lt;$M$12,AND(C69&gt;$M$13,C69&lt;=$M$5)),"-",C69&lt;=$M$13,$M$14+(C69-$M$12)*$M$15)</f>
        <v>-</v>
      </c>
      <c r="F69" s="16" cm="1">
        <f t="array" ref="F69">_xlfn.IFS(C69&lt;$M$36,"-",C69&lt;=$M$5,$M$18)</f>
        <v>7200</v>
      </c>
      <c r="G69" s="16" t="str" cm="1">
        <f t="array" ref="G69">_xlfn.IFS(OR(C69&lt;$M$21,AND(C69&gt;$M$22,C69&lt;=$M$5)),"-",C69&lt;=$M$22,C69*$M$23)</f>
        <v>-</v>
      </c>
      <c r="H69" s="16" t="str" cm="1">
        <f t="array" ref="H69">_xlfn.IFS(OR(C69&lt;$M$36,AND(C69&lt;=$M$5,C69&gt;$M$37)),"-",ROUNDUP(C69&lt;=(($M$37+$M$36)/2),0),$M$26,C69&lt;=$M$37,$M$27)</f>
        <v>-</v>
      </c>
      <c r="I69" s="16" t="str" cm="1">
        <f t="array" ref="I69">_xlfn.IFS(OR(AND(C69&lt;=$M$5,C69&gt;$M$37),C69&lt;$M$36),"-",C69&lt;=$M$37,$M$30/($M$37-$M$36+1))</f>
        <v>-</v>
      </c>
      <c r="J69" s="16" t="str" cm="1">
        <f t="array" ref="J69">_xlfn.IFS(C69&lt;$M$36,"-",AND(ISEVEN($M$36),ISEVEN(C69),C69&lt;=$M$37),$M$33,AND(ISODD($M$36),ISODD(C69),C69&lt;=$M$37),$M$33,C69&lt;=$M$5,"-")</f>
        <v>-</v>
      </c>
    </row>
    <row r="70" spans="3:10" x14ac:dyDescent="0.25">
      <c r="C70" s="4">
        <v>106</v>
      </c>
      <c r="D70" s="16" t="str" cm="1">
        <f t="array" ref="D70">_xlfn.IFS(OR(C70&lt;$M$36,AND(C70&gt;$M$37,C70&lt;=$M$5)),"-",C70&lt;=$M$36+(Annuity_Calc!$C$16),$M$9)</f>
        <v>-</v>
      </c>
      <c r="E70" s="16" t="str" cm="1">
        <f t="array" ref="E70">_xlfn.IFS(OR(C70&lt;$M$12,AND(C70&gt;$M$13,C70&lt;=$M$5)),"-",C70&lt;=$M$13,$M$14+(C70-$M$12)*$M$15)</f>
        <v>-</v>
      </c>
      <c r="F70" s="16" cm="1">
        <f t="array" ref="F70">_xlfn.IFS(C70&lt;$M$36,"-",C70&lt;=$M$5,$M$18)</f>
        <v>7200</v>
      </c>
      <c r="G70" s="16" t="str" cm="1">
        <f t="array" ref="G70">_xlfn.IFS(OR(C70&lt;$M$21,AND(C70&gt;$M$22,C70&lt;=$M$5)),"-",C70&lt;=$M$22,C70*$M$23)</f>
        <v>-</v>
      </c>
      <c r="H70" s="16" t="str" cm="1">
        <f t="array" ref="H70">_xlfn.IFS(OR(C70&lt;$M$36,AND(C70&lt;=$M$5,C70&gt;$M$37)),"-",ROUNDUP(C70&lt;=(($M$37+$M$36)/2),0),$M$26,C70&lt;=$M$37,$M$27)</f>
        <v>-</v>
      </c>
      <c r="I70" s="16" t="str" cm="1">
        <f t="array" ref="I70">_xlfn.IFS(OR(AND(C70&lt;=$M$5,C70&gt;$M$37),C70&lt;$M$36),"-",C70&lt;=$M$37,$M$30/($M$37-$M$36+1))</f>
        <v>-</v>
      </c>
      <c r="J70" s="16" t="str" cm="1">
        <f t="array" ref="J70">_xlfn.IFS(C70&lt;$M$36,"-",AND(ISEVEN($M$36),ISEVEN(C70),C70&lt;=$M$37),$M$33,AND(ISODD($M$36),ISODD(C70),C70&lt;=$M$37),$M$33,C70&lt;=$M$5,"-")</f>
        <v>-</v>
      </c>
    </row>
    <row r="71" spans="3:10" x14ac:dyDescent="0.25">
      <c r="C71" s="4">
        <v>107</v>
      </c>
      <c r="D71" s="16" t="str" cm="1">
        <f t="array" ref="D71">_xlfn.IFS(OR(C71&lt;$M$36,AND(C71&gt;$M$37,C71&lt;=$M$5)),"-",C71&lt;=$M$36+(Annuity_Calc!$C$16),$M$9)</f>
        <v>-</v>
      </c>
      <c r="E71" s="16" t="str" cm="1">
        <f t="array" ref="E71">_xlfn.IFS(OR(C71&lt;$M$12,AND(C71&gt;$M$13,C71&lt;=$M$5)),"-",C71&lt;=$M$13,$M$14+(C71-$M$12)*$M$15)</f>
        <v>-</v>
      </c>
      <c r="F71" s="16" cm="1">
        <f t="array" ref="F71">_xlfn.IFS(C71&lt;$M$36,"-",C71&lt;=$M$5,$M$18)</f>
        <v>7200</v>
      </c>
      <c r="G71" s="16" t="str" cm="1">
        <f t="array" ref="G71">_xlfn.IFS(OR(C71&lt;$M$21,AND(C71&gt;$M$22,C71&lt;=$M$5)),"-",C71&lt;=$M$22,C71*$M$23)</f>
        <v>-</v>
      </c>
      <c r="H71" s="16" t="str" cm="1">
        <f t="array" ref="H71">_xlfn.IFS(OR(C71&lt;$M$36,AND(C71&lt;=$M$5,C71&gt;$M$37)),"-",ROUNDUP(C71&lt;=(($M$37+$M$36)/2),0),$M$26,C71&lt;=$M$37,$M$27)</f>
        <v>-</v>
      </c>
      <c r="I71" s="16" t="str" cm="1">
        <f t="array" ref="I71">_xlfn.IFS(OR(AND(C71&lt;=$M$5,C71&gt;$M$37),C71&lt;$M$36),"-",C71&lt;=$M$37,$M$30/($M$37-$M$36+1))</f>
        <v>-</v>
      </c>
      <c r="J71" s="16" t="str" cm="1">
        <f t="array" ref="J71">_xlfn.IFS(C71&lt;$M$36,"-",AND(ISEVEN($M$36),ISEVEN(C71),C71&lt;=$M$37),$M$33,AND(ISODD($M$36),ISODD(C71),C71&lt;=$M$37),$M$33,C71&lt;=$M$5,"-")</f>
        <v>-</v>
      </c>
    </row>
    <row r="72" spans="3:10" x14ac:dyDescent="0.25">
      <c r="C72" s="4">
        <v>108</v>
      </c>
      <c r="D72" s="16" t="str" cm="1">
        <f t="array" ref="D72">_xlfn.IFS(OR(C72&lt;$M$36,AND(C72&gt;$M$37,C72&lt;=$M$5)),"-",C72&lt;=$M$36+(Annuity_Calc!$C$16),$M$9)</f>
        <v>-</v>
      </c>
      <c r="E72" s="16" t="str" cm="1">
        <f t="array" ref="E72">_xlfn.IFS(OR(C72&lt;$M$12,AND(C72&gt;$M$13,C72&lt;=$M$5)),"-",C72&lt;=$M$13,$M$14+(C72-$M$12)*$M$15)</f>
        <v>-</v>
      </c>
      <c r="F72" s="16" cm="1">
        <f t="array" ref="F72">_xlfn.IFS(C72&lt;$M$36,"-",C72&lt;=$M$5,$M$18)</f>
        <v>7200</v>
      </c>
      <c r="G72" s="16" t="str" cm="1">
        <f t="array" ref="G72">_xlfn.IFS(OR(C72&lt;$M$21,AND(C72&gt;$M$22,C72&lt;=$M$5)),"-",C72&lt;=$M$22,C72*$M$23)</f>
        <v>-</v>
      </c>
      <c r="H72" s="16" t="str" cm="1">
        <f t="array" ref="H72">_xlfn.IFS(OR(C72&lt;$M$36,AND(C72&lt;=$M$5,C72&gt;$M$37)),"-",ROUNDUP(C72&lt;=(($M$37+$M$36)/2),0),$M$26,C72&lt;=$M$37,$M$27)</f>
        <v>-</v>
      </c>
      <c r="I72" s="16" t="str" cm="1">
        <f t="array" ref="I72">_xlfn.IFS(OR(AND(C72&lt;=$M$5,C72&gt;$M$37),C72&lt;$M$36),"-",C72&lt;=$M$37,$M$30/($M$37-$M$36+1))</f>
        <v>-</v>
      </c>
      <c r="J72" s="16" t="str" cm="1">
        <f t="array" ref="J72">_xlfn.IFS(C72&lt;$M$36,"-",AND(ISEVEN($M$36),ISEVEN(C72),C72&lt;=$M$37),$M$33,AND(ISODD($M$36),ISODD(C72),C72&lt;=$M$37),$M$33,C72&lt;=$M$5,"-")</f>
        <v>-</v>
      </c>
    </row>
    <row r="73" spans="3:10" x14ac:dyDescent="0.25">
      <c r="C73" s="4">
        <v>109</v>
      </c>
      <c r="D73" s="16" t="str" cm="1">
        <f t="array" ref="D73">_xlfn.IFS(OR(C73&lt;$M$36,AND(C73&gt;$M$37,C73&lt;=$M$5)),"-",C73&lt;=$M$36+(Annuity_Calc!$C$16),$M$9)</f>
        <v>-</v>
      </c>
      <c r="E73" s="16" t="str" cm="1">
        <f t="array" ref="E73">_xlfn.IFS(OR(C73&lt;$M$12,AND(C73&gt;$M$13,C73&lt;=$M$5)),"-",C73&lt;=$M$13,$M$14+(C73-$M$12)*$M$15)</f>
        <v>-</v>
      </c>
      <c r="F73" s="16" cm="1">
        <f t="array" ref="F73">_xlfn.IFS(C73&lt;$M$36,"-",C73&lt;=$M$5,$M$18)</f>
        <v>7200</v>
      </c>
      <c r="G73" s="16" t="str" cm="1">
        <f t="array" ref="G73">_xlfn.IFS(OR(C73&lt;$M$21,AND(C73&gt;$M$22,C73&lt;=$M$5)),"-",C73&lt;=$M$22,C73*$M$23)</f>
        <v>-</v>
      </c>
      <c r="H73" s="16" t="str" cm="1">
        <f t="array" ref="H73">_xlfn.IFS(OR(C73&lt;$M$36,AND(C73&lt;=$M$5,C73&gt;$M$37)),"-",ROUNDUP(C73&lt;=(($M$37+$M$36)/2),0),$M$26,C73&lt;=$M$37,$M$27)</f>
        <v>-</v>
      </c>
      <c r="I73" s="16" t="str" cm="1">
        <f t="array" ref="I73">_xlfn.IFS(OR(AND(C73&lt;=$M$5,C73&gt;$M$37),C73&lt;$M$36),"-",C73&lt;=$M$37,$M$30/($M$37-$M$36+1))</f>
        <v>-</v>
      </c>
      <c r="J73" s="16" t="str" cm="1">
        <f t="array" ref="J73">_xlfn.IFS(C73&lt;$M$36,"-",AND(ISEVEN($M$36),ISEVEN(C73),C73&lt;=$M$37),$M$33,AND(ISODD($M$36),ISODD(C73),C73&lt;=$M$37),$M$33,C73&lt;=$M$5,"-")</f>
        <v>-</v>
      </c>
    </row>
    <row r="74" spans="3:10" x14ac:dyDescent="0.25">
      <c r="C74" s="4">
        <v>110</v>
      </c>
      <c r="D74" s="16" t="str" cm="1">
        <f t="array" ref="D74">_xlfn.IFS(OR(C74&lt;$M$36,AND(C74&gt;$M$37,C74&lt;=$M$5)),"-",C74&lt;=$M$36+(Annuity_Calc!$C$16),$M$9)</f>
        <v>-</v>
      </c>
      <c r="E74" s="16" t="str" cm="1">
        <f t="array" ref="E74">_xlfn.IFS(OR(C74&lt;$M$12,AND(C74&gt;$M$13,C74&lt;=$M$5)),"-",C74&lt;=$M$13,$M$14+(C74-$M$12)*$M$15)</f>
        <v>-</v>
      </c>
      <c r="F74" s="16" cm="1">
        <f t="array" ref="F74">_xlfn.IFS(C74&lt;$M$36,"-",C74&lt;=$M$5,$M$18)</f>
        <v>7200</v>
      </c>
      <c r="G74" s="16" t="str" cm="1">
        <f t="array" ref="G74">_xlfn.IFS(OR(C74&lt;$M$21,AND(C74&gt;$M$22,C74&lt;=$M$5)),"-",C74&lt;=$M$22,C74*$M$23)</f>
        <v>-</v>
      </c>
      <c r="H74" s="16" t="str" cm="1">
        <f t="array" ref="H74">_xlfn.IFS(OR(C74&lt;$M$36,AND(C74&lt;=$M$5,C74&gt;$M$37)),"-",ROUNDUP(C74&lt;=(($M$37+$M$36)/2),0),$M$26,C74&lt;=$M$37,$M$27)</f>
        <v>-</v>
      </c>
      <c r="I74" s="16" t="str" cm="1">
        <f t="array" ref="I74">_xlfn.IFS(OR(AND(C74&lt;=$M$5,C74&gt;$M$37),C74&lt;$M$36),"-",C74&lt;=$M$37,$M$30/($M$37-$M$36+1))</f>
        <v>-</v>
      </c>
      <c r="J74" s="16" t="str" cm="1">
        <f t="array" ref="J74">_xlfn.IFS(C74&lt;$M$36,"-",AND(ISEVEN($M$36),ISEVEN(C74),C74&lt;=$M$37),$M$33,AND(ISODD($M$36),ISODD(C74),C74&lt;=$M$37),$M$33,C74&lt;=$M$5,"-")</f>
        <v>-</v>
      </c>
    </row>
  </sheetData>
  <mergeCells count="1">
    <mergeCell ref="D2:J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6FB97-B7E8-4D25-8329-B4BBA49F2E4E}">
  <sheetPr codeName="Sheet7"/>
  <dimension ref="A1:CW73"/>
  <sheetViews>
    <sheetView zoomScale="70" zoomScaleNormal="70" workbookViewId="0">
      <selection activeCell="B1" sqref="B1:CW73"/>
    </sheetView>
  </sheetViews>
  <sheetFormatPr defaultRowHeight="15" x14ac:dyDescent="0.25"/>
  <cols>
    <col min="1" max="1" width="5.85546875" style="5" bestFit="1" customWidth="1"/>
    <col min="2" max="2" width="9.5703125" bestFit="1" customWidth="1"/>
    <col min="3" max="3" width="10.140625" bestFit="1" customWidth="1"/>
    <col min="4" max="7" width="10" bestFit="1" customWidth="1"/>
    <col min="8" max="8" width="10.140625" bestFit="1" customWidth="1"/>
    <col min="9" max="9" width="10" bestFit="1" customWidth="1"/>
    <col min="10" max="10" width="10.140625" bestFit="1" customWidth="1"/>
    <col min="11" max="11" width="10.7109375" bestFit="1" customWidth="1"/>
    <col min="12" max="12" width="10.28515625" bestFit="1" customWidth="1"/>
    <col min="13" max="20" width="10.7109375" bestFit="1" customWidth="1"/>
    <col min="21" max="21" width="11.140625" bestFit="1" customWidth="1"/>
    <col min="22" max="22" width="10.7109375" bestFit="1" customWidth="1"/>
    <col min="23" max="31" width="11.140625" bestFit="1" customWidth="1"/>
    <col min="32" max="32" width="10.7109375" bestFit="1" customWidth="1"/>
    <col min="33" max="41" width="11.140625" bestFit="1" customWidth="1"/>
    <col min="42" max="42" width="10.7109375" bestFit="1" customWidth="1"/>
    <col min="43" max="51" width="11.140625" bestFit="1" customWidth="1"/>
    <col min="52" max="52" width="10.7109375" bestFit="1" customWidth="1"/>
    <col min="53" max="61" width="11.140625" bestFit="1" customWidth="1"/>
    <col min="62" max="62" width="10.7109375" bestFit="1" customWidth="1"/>
    <col min="63" max="71" width="11.140625" bestFit="1" customWidth="1"/>
    <col min="72" max="72" width="10.7109375" bestFit="1" customWidth="1"/>
    <col min="73" max="81" width="11.140625" bestFit="1" customWidth="1"/>
    <col min="82" max="82" width="10.7109375" bestFit="1" customWidth="1"/>
    <col min="83" max="91" width="11.140625" bestFit="1" customWidth="1"/>
    <col min="92" max="92" width="10.7109375" bestFit="1" customWidth="1"/>
    <col min="93" max="100" width="11.140625" bestFit="1" customWidth="1"/>
    <col min="101" max="101" width="12" bestFit="1" customWidth="1"/>
  </cols>
  <sheetData>
    <row r="1" spans="1:101" x14ac:dyDescent="0.25">
      <c r="A1" s="13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</row>
    <row r="2" spans="1:101" s="24" customFormat="1" x14ac:dyDescent="0.25"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</row>
    <row r="3" spans="1:101" s="24" customFormat="1" x14ac:dyDescent="0.25">
      <c r="A3" s="13" cm="1">
        <f t="array" ref="A3:A73">_xlfn.SEQUENCE(71,1,40,1)</f>
        <v>40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</row>
    <row r="4" spans="1:101" s="24" customFormat="1" x14ac:dyDescent="0.25">
      <c r="A4" s="13">
        <v>41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</row>
    <row r="5" spans="1:101" s="24" customFormat="1" x14ac:dyDescent="0.25">
      <c r="A5" s="13">
        <v>42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</row>
    <row r="6" spans="1:101" s="24" customFormat="1" x14ac:dyDescent="0.25">
      <c r="A6" s="13">
        <v>43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</row>
    <row r="7" spans="1:101" s="24" customFormat="1" x14ac:dyDescent="0.25">
      <c r="A7" s="13">
        <v>44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</row>
    <row r="8" spans="1:101" s="24" customFormat="1" x14ac:dyDescent="0.25">
      <c r="A8" s="13">
        <v>45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</row>
    <row r="9" spans="1:101" s="24" customFormat="1" x14ac:dyDescent="0.25">
      <c r="A9" s="13">
        <v>46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</row>
    <row r="10" spans="1:101" s="24" customFormat="1" x14ac:dyDescent="0.25">
      <c r="A10" s="13">
        <v>47</v>
      </c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</row>
    <row r="11" spans="1:101" s="24" customFormat="1" x14ac:dyDescent="0.25">
      <c r="A11" s="13">
        <v>48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</row>
    <row r="12" spans="1:101" s="24" customFormat="1" x14ac:dyDescent="0.25">
      <c r="A12" s="13">
        <v>49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</row>
    <row r="13" spans="1:101" s="24" customFormat="1" x14ac:dyDescent="0.25">
      <c r="A13" s="13">
        <v>50</v>
      </c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</row>
    <row r="14" spans="1:101" s="24" customFormat="1" x14ac:dyDescent="0.25">
      <c r="A14" s="13">
        <v>51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</row>
    <row r="15" spans="1:101" s="24" customFormat="1" x14ac:dyDescent="0.25">
      <c r="A15" s="13">
        <v>52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</row>
    <row r="16" spans="1:101" s="24" customFormat="1" x14ac:dyDescent="0.25">
      <c r="A16" s="13">
        <v>53</v>
      </c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</row>
    <row r="17" spans="1:101" s="24" customFormat="1" x14ac:dyDescent="0.25">
      <c r="A17" s="13">
        <v>54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</row>
    <row r="18" spans="1:101" s="24" customFormat="1" x14ac:dyDescent="0.25">
      <c r="A18" s="13">
        <v>55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</row>
    <row r="19" spans="1:101" s="24" customFormat="1" x14ac:dyDescent="0.25">
      <c r="A19" s="13">
        <v>56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</row>
    <row r="20" spans="1:101" s="24" customFormat="1" x14ac:dyDescent="0.25">
      <c r="A20" s="13">
        <v>57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</row>
    <row r="21" spans="1:101" s="24" customFormat="1" x14ac:dyDescent="0.25">
      <c r="A21" s="13">
        <v>58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</row>
    <row r="22" spans="1:101" s="24" customFormat="1" x14ac:dyDescent="0.25">
      <c r="A22" s="13">
        <v>59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</row>
    <row r="23" spans="1:101" s="24" customFormat="1" x14ac:dyDescent="0.25">
      <c r="A23" s="13">
        <v>60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</row>
    <row r="24" spans="1:101" s="24" customFormat="1" x14ac:dyDescent="0.25">
      <c r="A24" s="13">
        <v>61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</row>
    <row r="25" spans="1:101" s="24" customFormat="1" x14ac:dyDescent="0.25">
      <c r="A25" s="13">
        <v>62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</row>
    <row r="26" spans="1:101" s="24" customFormat="1" x14ac:dyDescent="0.25">
      <c r="A26" s="13">
        <v>63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</row>
    <row r="27" spans="1:101" s="24" customFormat="1" x14ac:dyDescent="0.25">
      <c r="A27" s="13">
        <v>64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</row>
    <row r="28" spans="1:101" s="24" customFormat="1" x14ac:dyDescent="0.25">
      <c r="A28" s="13">
        <v>65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</row>
    <row r="29" spans="1:101" s="24" customFormat="1" x14ac:dyDescent="0.25">
      <c r="A29" s="13">
        <v>66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</row>
    <row r="30" spans="1:101" s="24" customFormat="1" x14ac:dyDescent="0.25">
      <c r="A30" s="13">
        <v>67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</row>
    <row r="31" spans="1:101" s="24" customFormat="1" x14ac:dyDescent="0.25">
      <c r="A31" s="13">
        <v>68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</row>
    <row r="32" spans="1:101" s="24" customFormat="1" x14ac:dyDescent="0.25">
      <c r="A32" s="13">
        <v>69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</row>
    <row r="33" spans="1:101" s="24" customFormat="1" x14ac:dyDescent="0.25">
      <c r="A33" s="13">
        <v>70</v>
      </c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</row>
    <row r="34" spans="1:101" s="24" customFormat="1" x14ac:dyDescent="0.25">
      <c r="A34" s="13">
        <v>71</v>
      </c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</row>
    <row r="35" spans="1:101" s="24" customFormat="1" x14ac:dyDescent="0.25">
      <c r="A35" s="13">
        <v>72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</row>
    <row r="36" spans="1:101" s="24" customFormat="1" x14ac:dyDescent="0.25">
      <c r="A36" s="13">
        <v>73</v>
      </c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</row>
    <row r="37" spans="1:101" s="24" customFormat="1" x14ac:dyDescent="0.25">
      <c r="A37" s="13">
        <v>74</v>
      </c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</row>
    <row r="38" spans="1:101" s="24" customFormat="1" x14ac:dyDescent="0.25">
      <c r="A38" s="13">
        <v>75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</row>
    <row r="39" spans="1:101" s="24" customFormat="1" x14ac:dyDescent="0.25">
      <c r="A39" s="13">
        <v>76</v>
      </c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</row>
    <row r="40" spans="1:101" s="24" customFormat="1" x14ac:dyDescent="0.25">
      <c r="A40" s="13">
        <v>77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</row>
    <row r="41" spans="1:101" s="24" customFormat="1" x14ac:dyDescent="0.25">
      <c r="A41" s="13">
        <v>78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</row>
    <row r="42" spans="1:101" s="24" customFormat="1" x14ac:dyDescent="0.25">
      <c r="A42" s="13">
        <v>79</v>
      </c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</row>
    <row r="43" spans="1:101" s="24" customFormat="1" x14ac:dyDescent="0.25">
      <c r="A43" s="13">
        <v>80</v>
      </c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</row>
    <row r="44" spans="1:101" s="24" customFormat="1" x14ac:dyDescent="0.25">
      <c r="A44" s="13">
        <v>81</v>
      </c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</row>
    <row r="45" spans="1:101" s="24" customFormat="1" x14ac:dyDescent="0.25">
      <c r="A45" s="13">
        <v>82</v>
      </c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</row>
    <row r="46" spans="1:101" s="24" customFormat="1" x14ac:dyDescent="0.25">
      <c r="A46" s="13">
        <v>83</v>
      </c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</row>
    <row r="47" spans="1:101" s="24" customFormat="1" x14ac:dyDescent="0.25">
      <c r="A47" s="13">
        <v>84</v>
      </c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</row>
    <row r="48" spans="1:101" s="24" customFormat="1" x14ac:dyDescent="0.25">
      <c r="A48" s="13">
        <v>85</v>
      </c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</row>
    <row r="49" spans="1:101" s="24" customFormat="1" x14ac:dyDescent="0.25">
      <c r="A49" s="13">
        <v>86</v>
      </c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</row>
    <row r="50" spans="1:101" s="24" customFormat="1" x14ac:dyDescent="0.25">
      <c r="A50" s="13">
        <v>87</v>
      </c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</row>
    <row r="51" spans="1:101" s="24" customFormat="1" x14ac:dyDescent="0.25">
      <c r="A51" s="13">
        <v>88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</row>
    <row r="52" spans="1:101" s="24" customFormat="1" x14ac:dyDescent="0.25">
      <c r="A52" s="13">
        <v>89</v>
      </c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</row>
    <row r="53" spans="1:101" s="24" customFormat="1" x14ac:dyDescent="0.25">
      <c r="A53" s="13">
        <v>90</v>
      </c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</row>
    <row r="54" spans="1:101" s="24" customFormat="1" x14ac:dyDescent="0.25">
      <c r="A54" s="13">
        <v>91</v>
      </c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</row>
    <row r="55" spans="1:101" s="24" customFormat="1" x14ac:dyDescent="0.25">
      <c r="A55" s="13">
        <v>92</v>
      </c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</row>
    <row r="56" spans="1:101" s="24" customFormat="1" x14ac:dyDescent="0.25">
      <c r="A56" s="13">
        <v>93</v>
      </c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</row>
    <row r="57" spans="1:101" s="24" customFormat="1" x14ac:dyDescent="0.25">
      <c r="A57" s="13">
        <v>94</v>
      </c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</row>
    <row r="58" spans="1:101" s="24" customFormat="1" x14ac:dyDescent="0.25">
      <c r="A58" s="13">
        <v>95</v>
      </c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</row>
    <row r="59" spans="1:101" s="24" customFormat="1" x14ac:dyDescent="0.25">
      <c r="A59" s="13">
        <v>96</v>
      </c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</row>
    <row r="60" spans="1:101" s="24" customFormat="1" x14ac:dyDescent="0.25">
      <c r="A60" s="13">
        <v>97</v>
      </c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</row>
    <row r="61" spans="1:101" s="24" customFormat="1" x14ac:dyDescent="0.25">
      <c r="A61" s="13">
        <v>98</v>
      </c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</row>
    <row r="62" spans="1:101" s="24" customFormat="1" x14ac:dyDescent="0.25">
      <c r="A62" s="13">
        <v>99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</row>
    <row r="63" spans="1:101" s="24" customFormat="1" x14ac:dyDescent="0.25">
      <c r="A63" s="13">
        <v>100</v>
      </c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</row>
    <row r="64" spans="1:101" s="24" customFormat="1" x14ac:dyDescent="0.25">
      <c r="A64" s="13">
        <v>101</v>
      </c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</row>
    <row r="65" spans="1:101" s="24" customFormat="1" x14ac:dyDescent="0.25">
      <c r="A65" s="13">
        <v>102</v>
      </c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</row>
    <row r="66" spans="1:101" s="24" customFormat="1" x14ac:dyDescent="0.25">
      <c r="A66" s="13">
        <v>103</v>
      </c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</row>
    <row r="67" spans="1:101" s="24" customFormat="1" x14ac:dyDescent="0.25">
      <c r="A67" s="13">
        <v>104</v>
      </c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</row>
    <row r="68" spans="1:101" s="24" customFormat="1" x14ac:dyDescent="0.25">
      <c r="A68" s="13">
        <v>105</v>
      </c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</row>
    <row r="69" spans="1:101" s="24" customFormat="1" x14ac:dyDescent="0.25">
      <c r="A69" s="13">
        <v>106</v>
      </c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</row>
    <row r="70" spans="1:101" s="24" customFormat="1" x14ac:dyDescent="0.25">
      <c r="A70" s="13">
        <v>107</v>
      </c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</row>
    <row r="71" spans="1:101" s="24" customFormat="1" x14ac:dyDescent="0.25">
      <c r="A71" s="13">
        <v>108</v>
      </c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</row>
    <row r="72" spans="1:101" s="24" customFormat="1" x14ac:dyDescent="0.25">
      <c r="A72" s="13">
        <v>109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</row>
    <row r="73" spans="1:101" x14ac:dyDescent="0.25">
      <c r="A73" s="13">
        <v>110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Annuity_Calc</vt:lpstr>
      <vt:lpstr>Group_Summary</vt:lpstr>
      <vt:lpstr>Data_Sheet</vt:lpstr>
      <vt:lpstr>Formulas</vt:lpstr>
      <vt:lpstr>Payment_Breakdown</vt:lpstr>
      <vt:lpstr>After75</vt:lpstr>
      <vt:lpstr>Ann_Table</vt:lpstr>
      <vt:lpstr>Before75</vt:lpstr>
      <vt:lpstr>FullTable</vt:lpstr>
      <vt:lpstr>Plan_Type</vt:lpstr>
      <vt:lpstr>Year</vt:lpstr>
      <vt:lpstr>Years1</vt:lpstr>
      <vt:lpstr>Years2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</dc:creator>
  <cp:lastModifiedBy>Bryan</cp:lastModifiedBy>
  <dcterms:created xsi:type="dcterms:W3CDTF">2023-08-24T20:40:15Z</dcterms:created>
  <dcterms:modified xsi:type="dcterms:W3CDTF">2023-09-01T04:34:42Z</dcterms:modified>
</cp:coreProperties>
</file>